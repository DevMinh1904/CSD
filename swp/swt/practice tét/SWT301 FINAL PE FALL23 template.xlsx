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8_{E2B4FE80-10B9-45BE-A3E6-8E22BBAB8522}" xr6:coauthVersionLast="47" xr6:coauthVersionMax="47" xr10:uidLastSave="{00000000-0000-0000-0000-000000000000}"/>
  <bookViews>
    <workbookView xWindow="-108" yWindow="-108" windowWidth="19416" windowHeight="10416" xr2:uid="{DAA3A29A-765A-4950-9501-5489EA449B14}"/>
  </bookViews>
  <sheets>
    <sheet name="Q1 template" sheetId="5" r:id="rId1"/>
    <sheet name="Q2 template" sheetId="1" r:id="rId2"/>
    <sheet name="Q3.1 template" sheetId="2" r:id="rId3"/>
    <sheet name="Q3.2 template" sheetId="6" r:id="rId4"/>
    <sheet name="Q3.3 templat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3" l="1"/>
  <c r="D3" i="3"/>
  <c r="A6" i="3"/>
  <c r="E2" i="3"/>
  <c r="D2" i="3"/>
  <c r="E1" i="3"/>
  <c r="E3" i="3" l="1"/>
  <c r="O7" i="1" l="1"/>
  <c r="N7" i="1"/>
  <c r="M7" i="1"/>
  <c r="L7" i="1"/>
  <c r="C7" i="1"/>
  <c r="A7" i="1"/>
  <c r="F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charset val="1"/>
          </rPr>
          <t>Tom P:</t>
        </r>
        <r>
          <rPr>
            <sz val="9"/>
            <color indexed="81"/>
            <rFont val="Tahoma"/>
            <charset val="1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6831721C-3282-488A-8BCE-80D94E7B8E4F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<sst xmlns="http://schemas.openxmlformats.org/spreadsheetml/2006/main" count="124" uniqueCount="95">
  <si>
    <t>Function Code</t>
  </si>
  <si>
    <t>Function Name</t>
  </si>
  <si>
    <t>Created By</t>
  </si>
  <si>
    <t>&lt;Developer Name&gt;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</si>
  <si>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</si>
  <si>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</si>
  <si>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</si>
  <si>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</si>
  <si>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</si>
  <si>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</si>
  <si>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</si>
  <si>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</si>
  <si>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</si>
  <si>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</si>
  <si>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</si>
  <si>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</si>
  <si>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Condition</t>
  </si>
  <si>
    <t xml:space="preserve">Precondition 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</si>
  <si>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</si>
  <si>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</si>
  <si>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</si>
  <si>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</si>
  <si>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</si>
  <si>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</si>
  <si>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</si>
  <si>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A</t>
  </si>
  <si>
    <t>N</t>
  </si>
  <si>
    <t>Passed/Failed</t>
  </si>
  <si>
    <t>Executed Date</t>
  </si>
  <si>
    <t>Defect ID</t>
  </si>
  <si>
    <t>TAG</t>
  </si>
  <si>
    <t>Test-case No</t>
  </si>
  <si>
    <t>Expected result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</si>
  <si>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</si>
  <si>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</si>
  <si>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</si>
  <si>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</si>
  <si>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</si>
  <si>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</si>
  <si>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</si>
  <si>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Bug#</t>
  </si>
  <si>
    <t>Note</t>
  </si>
  <si>
    <t>Input condition</t>
  </si>
  <si>
    <t>&lt;parameter 1&gt;</t>
  </si>
  <si>
    <t>&lt;parameter ...&gt;</t>
  </si>
  <si>
    <t>&lt;parameter n&gt;</t>
  </si>
  <si>
    <t>&lt;test data&gt;</t>
  </si>
  <si>
    <t>&lt;condition&gt;</t>
  </si>
  <si>
    <t>&lt;result 1&gt;</t>
  </si>
  <si>
    <t>&lt;result 2&gt;</t>
  </si>
  <si>
    <t>&lt;Data&gt;</t>
  </si>
  <si>
    <t>Don't edit the grey cell</t>
  </si>
  <si>
    <t>&lt;Tester name&gt;</t>
  </si>
  <si>
    <t>Test date
(dd/mm/yyyy&gt;</t>
  </si>
  <si>
    <t>Tag</t>
  </si>
  <si>
    <t>Invalid Partitions</t>
  </si>
  <si>
    <t>Valid Partitions</t>
  </si>
  <si>
    <t>Valid Boundaries</t>
  </si>
  <si>
    <t>Invalid Boundaries</t>
  </si>
  <si>
    <t>Customer name</t>
  </si>
  <si>
    <t>2 – 64  chars</t>
  </si>
  <si>
    <t>VP1</t>
  </si>
  <si>
    <t>&lt; 2 chars</t>
  </si>
  <si>
    <t>IP1</t>
  </si>
  <si>
    <t>2 chars</t>
  </si>
  <si>
    <t>VB1</t>
  </si>
  <si>
    <t>1 char</t>
  </si>
  <si>
    <t>IB1</t>
  </si>
  <si>
    <t>valid chars</t>
  </si>
  <si>
    <t>VP2</t>
  </si>
  <si>
    <t>&gt; 64 chars</t>
  </si>
  <si>
    <t>IP2</t>
  </si>
  <si>
    <t>64 chars</t>
  </si>
  <si>
    <t>VB2</t>
  </si>
  <si>
    <t>65 chars</t>
  </si>
  <si>
    <t>IB2</t>
  </si>
  <si>
    <t>invalid chars</t>
  </si>
  <si>
    <t>IP3</t>
  </si>
  <si>
    <t>0 char</t>
  </si>
  <si>
    <t>IB3</t>
  </si>
  <si>
    <t xml:space="preserve">Blue text is sample, needed to be deleted in the answer </t>
  </si>
  <si>
    <t>* Notes:</t>
  </si>
  <si>
    <t>VP1, VP2, VP3, VP4, VP5,…</t>
  </si>
  <si>
    <t>Name: John Smith
Acc. No: 123456
Loan: 2500
Term: 3 years</t>
  </si>
  <si>
    <t>Term: 3 years
Repayment: 79.86
Interest rate: 10%
Total paid: 2874.96</t>
  </si>
  <si>
    <t>Description</t>
  </si>
  <si>
    <t>Line</t>
  </si>
  <si>
    <t>Issue No</t>
  </si>
  <si>
    <t>Unfinished loop</t>
  </si>
  <si>
    <t>Function1</t>
  </si>
  <si>
    <t>Function A</t>
  </si>
  <si>
    <t>&lt;Name of function or Module&gt;</t>
  </si>
  <si>
    <t>Table 3.2 Test case design</t>
  </si>
  <si>
    <t>Table 3.3 Test case</t>
  </si>
  <si>
    <t>Table 3.1 Test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</si>
</sst>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Tahoma"/>
      <family val="2"/>
    </font>
    <font>
      <b/>
      <sz val="8"/>
      <color indexed="8"/>
      <name val="Times New Roman"/>
      <family val="1"/>
    </font>
    <font>
      <sz val="8"/>
      <color theme="4"/>
      <name val="Tahoma"/>
      <family val="2"/>
    </font>
    <font>
      <i/>
      <sz val="8"/>
      <color theme="4"/>
      <name val="Tahoma"/>
      <family val="2"/>
    </font>
    <font>
      <b/>
      <sz val="8"/>
      <color theme="4"/>
      <name val="Tahoma"/>
      <family val="2"/>
    </font>
    <font>
      <b/>
      <sz val="8"/>
      <color theme="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color rgb="FF0070C0"/>
      <name val="Tahoma"/>
      <family val="2"/>
    </font>
    <font>
      <sz val="10"/>
      <color theme="1"/>
      <name val="Calibri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70C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3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5" fillId="2" borderId="12" xfId="2" applyFont="1" applyFill="1" applyBorder="1" applyAlignment="1">
      <alignment wrapText="1"/>
    </xf>
    <xf numFmtId="0" fontId="5" fillId="2" borderId="17" xfId="2" applyFont="1" applyFill="1" applyBorder="1" applyAlignment="1">
      <alignment wrapText="1"/>
    </xf>
    <xf numFmtId="0" fontId="5" fillId="2" borderId="19" xfId="2" applyFont="1" applyFill="1" applyBorder="1" applyAlignment="1">
      <alignment horizontal="left" wrapText="1"/>
    </xf>
    <xf numFmtId="0" fontId="3" fillId="0" borderId="33" xfId="1" applyFont="1" applyBorder="1"/>
    <xf numFmtId="0" fontId="4" fillId="0" borderId="0" xfId="1" applyFont="1" applyAlignment="1">
      <alignment horizontal="left"/>
    </xf>
    <xf numFmtId="0" fontId="9" fillId="0" borderId="36" xfId="1" applyFont="1" applyBorder="1" applyAlignment="1">
      <alignment horizontal="center"/>
    </xf>
    <xf numFmtId="0" fontId="3" fillId="4" borderId="15" xfId="1" applyFont="1" applyFill="1" applyBorder="1" applyAlignment="1">
      <alignment horizontal="center" vertical="top"/>
    </xf>
    <xf numFmtId="0" fontId="3" fillId="4" borderId="16" xfId="1" applyFont="1" applyFill="1" applyBorder="1" applyAlignment="1">
      <alignment horizontal="right" vertical="top"/>
    </xf>
    <xf numFmtId="0" fontId="9" fillId="0" borderId="37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4" borderId="15" xfId="1" applyFont="1" applyFill="1" applyBorder="1"/>
    <xf numFmtId="0" fontId="3" fillId="4" borderId="16" xfId="1" applyFont="1" applyFill="1" applyBorder="1" applyAlignment="1">
      <alignment horizontal="right"/>
    </xf>
    <xf numFmtId="0" fontId="3" fillId="5" borderId="37" xfId="1" applyFont="1" applyFill="1" applyBorder="1" applyAlignment="1">
      <alignment horizontal="left"/>
    </xf>
    <xf numFmtId="0" fontId="10" fillId="4" borderId="15" xfId="1" applyFont="1" applyFill="1" applyBorder="1"/>
    <xf numFmtId="0" fontId="3" fillId="5" borderId="37" xfId="1" applyFont="1" applyFill="1" applyBorder="1"/>
    <xf numFmtId="0" fontId="9" fillId="0" borderId="40" xfId="1" applyFont="1" applyBorder="1" applyAlignment="1">
      <alignment horizontal="center"/>
    </xf>
    <xf numFmtId="0" fontId="11" fillId="0" borderId="37" xfId="1" applyFont="1" applyBorder="1" applyAlignment="1">
      <alignment horizontal="left"/>
    </xf>
    <xf numFmtId="0" fontId="3" fillId="0" borderId="37" xfId="1" applyFont="1" applyBorder="1" applyAlignment="1">
      <alignment horizontal="center"/>
    </xf>
    <xf numFmtId="0" fontId="3" fillId="0" borderId="37" xfId="1" applyFont="1" applyBorder="1"/>
    <xf numFmtId="165" fontId="3" fillId="0" borderId="37" xfId="1" applyNumberFormat="1" applyFont="1" applyBorder="1" applyAlignment="1">
      <alignment vertical="top" textRotation="255"/>
    </xf>
    <xf numFmtId="0" fontId="7" fillId="0" borderId="0" xfId="1" applyFont="1" applyAlignment="1">
      <alignment vertical="top"/>
    </xf>
    <xf numFmtId="0" fontId="0" fillId="0" borderId="37" xfId="0" applyBorder="1"/>
    <xf numFmtId="0" fontId="0" fillId="0" borderId="37" xfId="0" applyBorder="1" applyAlignment="1">
      <alignment horizontal="center"/>
    </xf>
    <xf numFmtId="0" fontId="3" fillId="0" borderId="0" xfId="0" applyFont="1"/>
    <xf numFmtId="0" fontId="16" fillId="4" borderId="16" xfId="1" applyFont="1" applyFill="1" applyBorder="1" applyAlignment="1">
      <alignment horizontal="right" vertical="top"/>
    </xf>
    <xf numFmtId="0" fontId="16" fillId="4" borderId="16" xfId="1" applyFont="1" applyFill="1" applyBorder="1" applyAlignment="1">
      <alignment horizontal="right"/>
    </xf>
    <xf numFmtId="0" fontId="3" fillId="10" borderId="31" xfId="1" applyFont="1" applyFill="1" applyBorder="1" applyAlignment="1">
      <alignment horizontal="center" vertical="center"/>
    </xf>
    <xf numFmtId="0" fontId="3" fillId="11" borderId="0" xfId="1" applyFont="1" applyFill="1"/>
    <xf numFmtId="0" fontId="4" fillId="11" borderId="0" xfId="1" applyFont="1" applyFill="1" applyAlignment="1">
      <alignment horizontal="left"/>
    </xf>
    <xf numFmtId="0" fontId="4" fillId="0" borderId="0" xfId="1" applyFont="1"/>
    <xf numFmtId="0" fontId="9" fillId="0" borderId="43" xfId="1" applyFont="1" applyBorder="1" applyAlignment="1">
      <alignment horizontal="center"/>
    </xf>
    <xf numFmtId="0" fontId="9" fillId="0" borderId="44" xfId="1" applyFont="1" applyBorder="1" applyAlignment="1">
      <alignment horizontal="center"/>
    </xf>
    <xf numFmtId="0" fontId="9" fillId="0" borderId="45" xfId="1" applyFont="1" applyBorder="1" applyAlignment="1">
      <alignment horizontal="center"/>
    </xf>
    <xf numFmtId="0" fontId="3" fillId="0" borderId="44" xfId="1" applyFont="1" applyBorder="1" applyAlignment="1">
      <alignment horizontal="center"/>
    </xf>
    <xf numFmtId="165" fontId="3" fillId="0" borderId="44" xfId="1" applyNumberFormat="1" applyFont="1" applyBorder="1" applyAlignment="1">
      <alignment vertical="top" textRotation="255"/>
    </xf>
    <xf numFmtId="0" fontId="3" fillId="0" borderId="46" xfId="1" applyFont="1" applyBorder="1"/>
    <xf numFmtId="0" fontId="3" fillId="0" borderId="46" xfId="1" applyFont="1" applyBorder="1" applyAlignment="1">
      <alignment textRotation="255"/>
    </xf>
    <xf numFmtId="0" fontId="3" fillId="0" borderId="47" xfId="1" applyFont="1" applyBorder="1" applyAlignment="1">
      <alignment textRotation="255"/>
    </xf>
    <xf numFmtId="0" fontId="8" fillId="11" borderId="48" xfId="1" applyFont="1" applyFill="1" applyBorder="1"/>
    <xf numFmtId="0" fontId="4" fillId="4" borderId="34" xfId="1" applyFont="1" applyFill="1" applyBorder="1" applyAlignment="1">
      <alignment horizontal="left" vertical="top"/>
    </xf>
    <xf numFmtId="0" fontId="4" fillId="4" borderId="15" xfId="1" applyFont="1" applyFill="1" applyBorder="1" applyAlignment="1">
      <alignment horizontal="left" vertical="top"/>
    </xf>
    <xf numFmtId="0" fontId="18" fillId="4" borderId="15" xfId="1" applyFont="1" applyFill="1" applyBorder="1" applyAlignment="1">
      <alignment horizontal="left" vertical="top"/>
    </xf>
    <xf numFmtId="0" fontId="19" fillId="11" borderId="50" xfId="1" applyFont="1" applyFill="1" applyBorder="1" applyAlignment="1">
      <alignment vertical="center"/>
    </xf>
    <xf numFmtId="0" fontId="19" fillId="11" borderId="51" xfId="1" applyFont="1" applyFill="1" applyBorder="1" applyAlignment="1">
      <alignment vertical="center"/>
    </xf>
    <xf numFmtId="0" fontId="19" fillId="11" borderId="51" xfId="1" applyFont="1" applyFill="1" applyBorder="1" applyAlignment="1">
      <alignment vertical="top"/>
    </xf>
    <xf numFmtId="0" fontId="19" fillId="11" borderId="52" xfId="1" applyFont="1" applyFill="1" applyBorder="1" applyAlignment="1">
      <alignment vertical="top"/>
    </xf>
    <xf numFmtId="0" fontId="19" fillId="11" borderId="52" xfId="1" applyFont="1" applyFill="1" applyBorder="1" applyAlignment="1">
      <alignment vertical="center"/>
    </xf>
    <xf numFmtId="0" fontId="19" fillId="11" borderId="50" xfId="1" applyFont="1" applyFill="1" applyBorder="1" applyAlignment="1">
      <alignment vertical="top"/>
    </xf>
    <xf numFmtId="0" fontId="19" fillId="11" borderId="54" xfId="1" applyFont="1" applyFill="1" applyBorder="1" applyAlignment="1">
      <alignment vertical="top" textRotation="180"/>
    </xf>
    <xf numFmtId="0" fontId="7" fillId="11" borderId="54" xfId="1" applyFont="1" applyFill="1" applyBorder="1" applyAlignment="1">
      <alignment vertical="top" textRotation="180"/>
    </xf>
    <xf numFmtId="0" fontId="7" fillId="11" borderId="55" xfId="1" applyFont="1" applyFill="1" applyBorder="1" applyAlignment="1">
      <alignment vertical="top" textRotation="180"/>
    </xf>
    <xf numFmtId="0" fontId="3" fillId="4" borderId="3" xfId="1" applyFont="1" applyFill="1" applyBorder="1" applyAlignment="1">
      <alignment horizontal="center" vertical="top"/>
    </xf>
    <xf numFmtId="0" fontId="3" fillId="4" borderId="5" xfId="1" applyFont="1" applyFill="1" applyBorder="1" applyAlignment="1">
      <alignment horizontal="right" vertical="top"/>
    </xf>
    <xf numFmtId="0" fontId="5" fillId="5" borderId="56" xfId="1" applyFont="1" applyFill="1" applyBorder="1" applyAlignment="1">
      <alignment horizontal="right"/>
    </xf>
    <xf numFmtId="0" fontId="17" fillId="5" borderId="57" xfId="1" applyFont="1" applyFill="1" applyBorder="1" applyAlignment="1">
      <alignment horizontal="right"/>
    </xf>
    <xf numFmtId="0" fontId="16" fillId="0" borderId="57" xfId="1" applyFont="1" applyBorder="1" applyAlignment="1">
      <alignment vertical="top"/>
    </xf>
    <xf numFmtId="0" fontId="16" fillId="5" borderId="57" xfId="1" applyFont="1" applyFill="1" applyBorder="1" applyAlignment="1">
      <alignment horizontal="right"/>
    </xf>
    <xf numFmtId="0" fontId="3" fillId="5" borderId="57" xfId="1" applyFont="1" applyFill="1" applyBorder="1" applyAlignment="1">
      <alignment horizontal="right"/>
    </xf>
    <xf numFmtId="0" fontId="16" fillId="4" borderId="35" xfId="1" applyFont="1" applyFill="1" applyBorder="1" applyAlignment="1">
      <alignment horizontal="right" vertical="top"/>
    </xf>
    <xf numFmtId="0" fontId="4" fillId="4" borderId="58" xfId="1" applyFont="1" applyFill="1" applyBorder="1" applyAlignment="1">
      <alignment horizontal="left" vertical="top"/>
    </xf>
    <xf numFmtId="0" fontId="4" fillId="4" borderId="59" xfId="1" applyFont="1" applyFill="1" applyBorder="1" applyAlignment="1">
      <alignment horizontal="left" vertical="top"/>
    </xf>
    <xf numFmtId="0" fontId="3" fillId="4" borderId="38" xfId="1" applyFont="1" applyFill="1" applyBorder="1" applyAlignment="1">
      <alignment horizontal="center" vertical="top"/>
    </xf>
    <xf numFmtId="0" fontId="3" fillId="4" borderId="39" xfId="1" applyFont="1" applyFill="1" applyBorder="1" applyAlignment="1">
      <alignment horizontal="right" vertical="top"/>
    </xf>
    <xf numFmtId="0" fontId="3" fillId="0" borderId="36" xfId="1" applyFont="1" applyBorder="1" applyAlignment="1">
      <alignment horizontal="left"/>
    </xf>
    <xf numFmtId="0" fontId="3" fillId="0" borderId="36" xfId="1" applyFont="1" applyBorder="1" applyAlignment="1">
      <alignment horizontal="center"/>
    </xf>
    <xf numFmtId="0" fontId="3" fillId="0" borderId="43" xfId="1" applyFont="1" applyBorder="1" applyAlignment="1">
      <alignment horizontal="center"/>
    </xf>
    <xf numFmtId="0" fontId="4" fillId="4" borderId="60" xfId="1" applyFont="1" applyFill="1" applyBorder="1"/>
    <xf numFmtId="0" fontId="4" fillId="4" borderId="3" xfId="1" applyFont="1" applyFill="1" applyBorder="1"/>
    <xf numFmtId="0" fontId="3" fillId="4" borderId="5" xfId="1" applyFont="1" applyFill="1" applyBorder="1" applyAlignment="1">
      <alignment horizontal="right"/>
    </xf>
    <xf numFmtId="0" fontId="3" fillId="5" borderId="61" xfId="1" applyFont="1" applyFill="1" applyBorder="1" applyAlignment="1">
      <alignment horizontal="left"/>
    </xf>
    <xf numFmtId="0" fontId="9" fillId="0" borderId="61" xfId="1" applyFont="1" applyBorder="1" applyAlignment="1">
      <alignment horizontal="center"/>
    </xf>
    <xf numFmtId="0" fontId="9" fillId="0" borderId="62" xfId="1" applyFont="1" applyBorder="1" applyAlignment="1">
      <alignment horizontal="center"/>
    </xf>
    <xf numFmtId="0" fontId="4" fillId="4" borderId="58" xfId="1" applyFont="1" applyFill="1" applyBorder="1"/>
    <xf numFmtId="0" fontId="4" fillId="4" borderId="63" xfId="1" applyFont="1" applyFill="1" applyBorder="1"/>
    <xf numFmtId="0" fontId="3" fillId="4" borderId="64" xfId="1" applyFont="1" applyFill="1" applyBorder="1"/>
    <xf numFmtId="0" fontId="16" fillId="4" borderId="49" xfId="1" applyFont="1" applyFill="1" applyBorder="1" applyAlignment="1">
      <alignment horizontal="right"/>
    </xf>
    <xf numFmtId="0" fontId="3" fillId="5" borderId="46" xfId="1" applyFont="1" applyFill="1" applyBorder="1" applyAlignment="1">
      <alignment horizontal="left"/>
    </xf>
    <xf numFmtId="0" fontId="9" fillId="0" borderId="46" xfId="1" applyFont="1" applyBorder="1" applyAlignment="1">
      <alignment horizontal="center"/>
    </xf>
    <xf numFmtId="0" fontId="9" fillId="0" borderId="47" xfId="1" applyFont="1" applyBorder="1" applyAlignment="1">
      <alignment horizontal="center"/>
    </xf>
    <xf numFmtId="0" fontId="7" fillId="3" borderId="37" xfId="2" applyFont="1" applyFill="1" applyBorder="1" applyAlignment="1">
      <alignment horizontal="center" vertical="center" wrapText="1"/>
    </xf>
    <xf numFmtId="0" fontId="14" fillId="7" borderId="37" xfId="2" applyFont="1" applyFill="1" applyBorder="1" applyAlignment="1">
      <alignment horizontal="center" vertical="center" wrapText="1"/>
    </xf>
    <xf numFmtId="0" fontId="3" fillId="8" borderId="37" xfId="2" applyFont="1" applyFill="1" applyBorder="1" applyAlignment="1">
      <alignment vertical="top" wrapText="1"/>
    </xf>
    <xf numFmtId="0" fontId="3" fillId="9" borderId="37" xfId="0" applyFont="1" applyFill="1" applyBorder="1" applyAlignment="1">
      <alignment vertical="top"/>
    </xf>
    <xf numFmtId="0" fontId="3" fillId="9" borderId="37" xfId="0" applyFont="1" applyFill="1" applyBorder="1" applyAlignment="1">
      <alignment vertical="top" wrapText="1"/>
    </xf>
    <xf numFmtId="16" fontId="3" fillId="9" borderId="37" xfId="0" applyNumberFormat="1" applyFont="1" applyFill="1" applyBorder="1" applyAlignment="1">
      <alignment vertical="top"/>
    </xf>
    <xf numFmtId="0" fontId="3" fillId="9" borderId="37" xfId="0" applyFont="1" applyFill="1" applyBorder="1" applyAlignment="1">
      <alignment horizontal="left" vertical="top"/>
    </xf>
    <xf numFmtId="0" fontId="3" fillId="9" borderId="37" xfId="0" applyFont="1" applyFill="1" applyBorder="1" applyAlignment="1">
      <alignment horizontal="left" vertical="top" wrapText="1"/>
    </xf>
    <xf numFmtId="16" fontId="3" fillId="9" borderId="37" xfId="0" applyNumberFormat="1" applyFont="1" applyFill="1" applyBorder="1" applyAlignment="1">
      <alignment horizontal="right" vertical="top"/>
    </xf>
    <xf numFmtId="16" fontId="3" fillId="9" borderId="37" xfId="0" applyNumberFormat="1" applyFont="1" applyFill="1" applyBorder="1" applyAlignment="1">
      <alignment horizontal="left" vertical="top"/>
    </xf>
    <xf numFmtId="0" fontId="3" fillId="0" borderId="37" xfId="0" applyFont="1" applyBorder="1" applyAlignment="1">
      <alignment horizontal="left" vertical="top" wrapText="1"/>
    </xf>
    <xf numFmtId="0" fontId="3" fillId="8" borderId="37" xfId="2" applyFont="1" applyFill="1" applyBorder="1" applyAlignment="1">
      <alignment horizontal="left" vertical="top" wrapText="1"/>
    </xf>
    <xf numFmtId="0" fontId="3" fillId="0" borderId="37" xfId="0" applyFont="1" applyBorder="1"/>
    <xf numFmtId="0" fontId="3" fillId="0" borderId="37" xfId="0" applyFont="1" applyBorder="1" applyAlignment="1">
      <alignment vertical="top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1" fillId="6" borderId="37" xfId="0" applyFont="1" applyFill="1" applyBorder="1"/>
    <xf numFmtId="0" fontId="1" fillId="0" borderId="37" xfId="0" applyFont="1" applyBorder="1"/>
    <xf numFmtId="0" fontId="0" fillId="0" borderId="37" xfId="0" applyBorder="1" applyAlignment="1">
      <alignment horizontal="center" vertical="center"/>
    </xf>
    <xf numFmtId="0" fontId="23" fillId="0" borderId="37" xfId="0" applyFont="1" applyBorder="1"/>
    <xf numFmtId="0" fontId="24" fillId="0" borderId="0" xfId="1" applyFont="1"/>
    <xf numFmtId="0" fontId="23" fillId="0" borderId="37" xfId="0" applyFont="1" applyBorder="1" applyAlignment="1">
      <alignment horizontal="center" vertical="top"/>
    </xf>
    <xf numFmtId="0" fontId="23" fillId="0" borderId="37" xfId="0" applyFont="1" applyBorder="1" applyAlignment="1">
      <alignment vertical="top" wrapText="1"/>
    </xf>
    <xf numFmtId="0" fontId="0" fillId="13" borderId="37" xfId="0" applyFill="1" applyBorder="1"/>
    <xf numFmtId="0" fontId="23" fillId="0" borderId="37" xfId="0" applyFont="1" applyBorder="1" applyAlignment="1">
      <alignment horizontal="left"/>
    </xf>
    <xf numFmtId="0" fontId="25" fillId="0" borderId="0" xfId="0" applyFont="1"/>
    <xf numFmtId="0" fontId="26" fillId="0" borderId="41" xfId="3" applyFont="1" applyFill="1" applyBorder="1" applyAlignment="1">
      <alignment horizontal="left" vertical="top" wrapText="1"/>
    </xf>
    <xf numFmtId="0" fontId="27" fillId="0" borderId="41" xfId="0" applyFont="1" applyBorder="1" applyAlignment="1">
      <alignment horizontal="left" vertical="top" wrapText="1"/>
    </xf>
    <xf numFmtId="0" fontId="27" fillId="0" borderId="41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applyFont="1"/>
    <xf numFmtId="0" fontId="28" fillId="0" borderId="41" xfId="2" applyFont="1" applyBorder="1" applyAlignment="1">
      <alignment horizontal="left" vertical="top" wrapText="1"/>
    </xf>
    <xf numFmtId="0" fontId="29" fillId="0" borderId="42" xfId="2" applyFont="1" applyBorder="1" applyAlignment="1">
      <alignment horizontal="left" vertical="top" wrapText="1"/>
    </xf>
    <xf numFmtId="0" fontId="27" fillId="0" borderId="41" xfId="2" applyFont="1" applyBorder="1" applyAlignment="1">
      <alignment horizontal="left" vertical="top" wrapText="1"/>
    </xf>
    <xf numFmtId="0" fontId="28" fillId="0" borderId="42" xfId="2" applyFont="1" applyBorder="1" applyAlignment="1">
      <alignment horizontal="left" vertical="top" wrapText="1"/>
    </xf>
    <xf numFmtId="0" fontId="27" fillId="0" borderId="42" xfId="0" applyFont="1" applyBorder="1" applyAlignment="1">
      <alignment horizontal="left" vertical="top" wrapText="1"/>
    </xf>
    <xf numFmtId="2" fontId="27" fillId="0" borderId="42" xfId="0" applyNumberFormat="1" applyFont="1" applyBorder="1" applyAlignment="1">
      <alignment vertical="top" wrapText="1"/>
    </xf>
    <xf numFmtId="2" fontId="27" fillId="0" borderId="0" xfId="0" applyNumberFormat="1" applyFont="1" applyAlignment="1">
      <alignment vertical="top" wrapText="1"/>
    </xf>
    <xf numFmtId="0" fontId="4" fillId="0" borderId="0" xfId="0" applyFont="1"/>
    <xf numFmtId="164" fontId="6" fillId="12" borderId="53" xfId="1" applyNumberFormat="1" applyFont="1" applyFill="1" applyBorder="1" applyAlignment="1">
      <alignment horizontal="center" vertical="center"/>
    </xf>
    <xf numFmtId="164" fontId="6" fillId="12" borderId="48" xfId="1" applyNumberFormat="1" applyFont="1" applyFill="1" applyBorder="1" applyAlignment="1">
      <alignment horizontal="center" vertical="center"/>
    </xf>
    <xf numFmtId="0" fontId="16" fillId="0" borderId="34" xfId="1" applyFont="1" applyBorder="1" applyAlignment="1">
      <alignment horizontal="right"/>
    </xf>
    <xf numFmtId="0" fontId="16" fillId="0" borderId="35" xfId="1" applyFont="1" applyBorder="1" applyAlignment="1">
      <alignment horizontal="right"/>
    </xf>
    <xf numFmtId="0" fontId="3" fillId="0" borderId="35" xfId="1" applyFont="1" applyBorder="1" applyAlignment="1">
      <alignment horizontal="left"/>
    </xf>
    <xf numFmtId="0" fontId="3" fillId="0" borderId="36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37" xfId="1" applyFont="1" applyBorder="1" applyAlignment="1">
      <alignment horizontal="left"/>
    </xf>
    <xf numFmtId="0" fontId="3" fillId="0" borderId="16" xfId="1" applyFont="1" applyBorder="1" applyAlignment="1">
      <alignment horizontal="left" vertical="top"/>
    </xf>
    <xf numFmtId="0" fontId="3" fillId="0" borderId="37" xfId="1" applyFont="1" applyBorder="1" applyAlignment="1">
      <alignment horizontal="left" vertical="top"/>
    </xf>
    <xf numFmtId="0" fontId="3" fillId="0" borderId="49" xfId="1" applyFont="1" applyBorder="1" applyAlignment="1">
      <alignment horizontal="left" vertical="top"/>
    </xf>
    <xf numFmtId="0" fontId="3" fillId="0" borderId="46" xfId="1" applyFont="1" applyBorder="1" applyAlignment="1">
      <alignment horizontal="left" vertical="top"/>
    </xf>
    <xf numFmtId="0" fontId="16" fillId="0" borderId="15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57" xfId="1" applyFont="1" applyBorder="1" applyAlignment="1">
      <alignment horizontal="right"/>
    </xf>
    <xf numFmtId="0" fontId="3" fillId="10" borderId="26" xfId="1" applyFont="1" applyFill="1" applyBorder="1" applyAlignment="1">
      <alignment horizontal="center" vertical="center"/>
    </xf>
    <xf numFmtId="0" fontId="3" fillId="10" borderId="27" xfId="1" applyFont="1" applyFill="1" applyBorder="1" applyAlignment="1">
      <alignment horizontal="center" vertical="center"/>
    </xf>
    <xf numFmtId="0" fontId="3" fillId="10" borderId="28" xfId="1" applyFont="1" applyFill="1" applyBorder="1" applyAlignment="1">
      <alignment horizontal="center" vertical="center"/>
    </xf>
    <xf numFmtId="0" fontId="3" fillId="10" borderId="29" xfId="1" applyFont="1" applyFill="1" applyBorder="1" applyAlignment="1">
      <alignment horizontal="center" vertical="center"/>
    </xf>
    <xf numFmtId="0" fontId="3" fillId="10" borderId="30" xfId="1" applyFont="1" applyFill="1" applyBorder="1" applyAlignment="1">
      <alignment horizontal="center" vertical="center"/>
    </xf>
    <xf numFmtId="0" fontId="3" fillId="10" borderId="31" xfId="1" applyFont="1" applyFill="1" applyBorder="1" applyAlignment="1">
      <alignment horizontal="center" vertical="center"/>
    </xf>
    <xf numFmtId="0" fontId="3" fillId="10" borderId="32" xfId="1" applyFont="1" applyFill="1" applyBorder="1" applyAlignment="1">
      <alignment horizontal="center" vertical="center"/>
    </xf>
    <xf numFmtId="0" fontId="4" fillId="10" borderId="9" xfId="2" applyFont="1" applyFill="1" applyBorder="1" applyAlignment="1">
      <alignment horizontal="left" wrapText="1"/>
    </xf>
    <xf numFmtId="0" fontId="4" fillId="10" borderId="10" xfId="2" applyFont="1" applyFill="1" applyBorder="1" applyAlignment="1">
      <alignment horizontal="left" wrapText="1"/>
    </xf>
    <xf numFmtId="0" fontId="17" fillId="2" borderId="18" xfId="2" applyFont="1" applyFill="1" applyBorder="1" applyAlignment="1">
      <alignment horizontal="center" wrapText="1"/>
    </xf>
    <xf numFmtId="0" fontId="17" fillId="2" borderId="19" xfId="2" applyFont="1" applyFill="1" applyBorder="1" applyAlignment="1">
      <alignment horizontal="center" wrapText="1"/>
    </xf>
    <xf numFmtId="0" fontId="4" fillId="10" borderId="14" xfId="2" applyFont="1" applyFill="1" applyBorder="1" applyAlignment="1">
      <alignment horizontal="left" wrapText="1"/>
    </xf>
    <xf numFmtId="0" fontId="4" fillId="10" borderId="15" xfId="2" applyFont="1" applyFill="1" applyBorder="1" applyAlignment="1">
      <alignment horizontal="left" wrapText="1"/>
    </xf>
    <xf numFmtId="0" fontId="4" fillId="10" borderId="16" xfId="2" applyFont="1" applyFill="1" applyBorder="1" applyAlignment="1">
      <alignment horizontal="left" wrapText="1"/>
    </xf>
    <xf numFmtId="0" fontId="3" fillId="10" borderId="20" xfId="2" applyFont="1" applyFill="1" applyBorder="1" applyAlignment="1">
      <alignment horizontal="center" wrapText="1"/>
    </xf>
    <xf numFmtId="0" fontId="3" fillId="10" borderId="19" xfId="2" applyFont="1" applyFill="1" applyBorder="1" applyAlignment="1">
      <alignment horizontal="center" wrapText="1"/>
    </xf>
    <xf numFmtId="0" fontId="3" fillId="10" borderId="21" xfId="2" applyFont="1" applyFill="1" applyBorder="1" applyAlignment="1">
      <alignment horizontal="center" wrapText="1"/>
    </xf>
    <xf numFmtId="0" fontId="17" fillId="2" borderId="22" xfId="2" applyFont="1" applyFill="1" applyBorder="1" applyAlignment="1">
      <alignment horizontal="left" wrapText="1"/>
    </xf>
    <xf numFmtId="0" fontId="17" fillId="2" borderId="23" xfId="2" applyFont="1" applyFill="1" applyBorder="1" applyAlignment="1">
      <alignment horizontal="left" wrapText="1"/>
    </xf>
    <xf numFmtId="0" fontId="4" fillId="10" borderId="9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4" fillId="10" borderId="18" xfId="1" applyFont="1" applyFill="1" applyBorder="1" applyAlignment="1">
      <alignment horizontal="center" vertical="center" wrapText="1"/>
    </xf>
    <xf numFmtId="0" fontId="4" fillId="10" borderId="19" xfId="1" applyFont="1" applyFill="1" applyBorder="1" applyAlignment="1">
      <alignment horizontal="center" vertical="center" wrapText="1"/>
    </xf>
    <xf numFmtId="0" fontId="4" fillId="10" borderId="10" xfId="1" applyFont="1" applyFill="1" applyBorder="1" applyAlignment="1">
      <alignment horizontal="center" vertical="center" wrapText="1"/>
    </xf>
    <xf numFmtId="0" fontId="4" fillId="10" borderId="24" xfId="1" applyFont="1" applyFill="1" applyBorder="1" applyAlignment="1">
      <alignment horizontal="center" vertical="center" wrapText="1"/>
    </xf>
    <xf numFmtId="0" fontId="4" fillId="10" borderId="20" xfId="1" applyFont="1" applyFill="1" applyBorder="1" applyAlignment="1">
      <alignment horizontal="center" vertical="center" wrapText="1"/>
    </xf>
    <xf numFmtId="0" fontId="4" fillId="10" borderId="25" xfId="1" applyFont="1" applyFill="1" applyBorder="1" applyAlignment="1">
      <alignment horizontal="center" vertical="center" wrapText="1"/>
    </xf>
    <xf numFmtId="0" fontId="4" fillId="10" borderId="2" xfId="2" applyFont="1" applyFill="1" applyBorder="1" applyAlignment="1">
      <alignment horizontal="left" wrapText="1"/>
    </xf>
    <xf numFmtId="0" fontId="4" fillId="10" borderId="3" xfId="2" applyFont="1" applyFill="1" applyBorder="1" applyAlignment="1">
      <alignment horizontal="left" wrapText="1"/>
    </xf>
    <xf numFmtId="49" fontId="17" fillId="2" borderId="4" xfId="2" applyNumberFormat="1" applyFont="1" applyFill="1" applyBorder="1" applyAlignment="1">
      <alignment horizontal="left" wrapText="1"/>
    </xf>
    <xf numFmtId="0" fontId="17" fillId="2" borderId="3" xfId="2" applyFont="1" applyFill="1" applyBorder="1" applyAlignment="1">
      <alignment horizontal="left" wrapText="1"/>
    </xf>
    <xf numFmtId="0" fontId="17" fillId="2" borderId="5" xfId="2" applyFont="1" applyFill="1" applyBorder="1" applyAlignment="1">
      <alignment horizontal="left" wrapText="1"/>
    </xf>
    <xf numFmtId="0" fontId="4" fillId="10" borderId="6" xfId="2" applyFont="1" applyFill="1" applyBorder="1" applyAlignment="1">
      <alignment horizontal="left" wrapText="1"/>
    </xf>
    <xf numFmtId="0" fontId="4" fillId="10" borderId="7" xfId="2" applyFont="1" applyFill="1" applyBorder="1" applyAlignment="1">
      <alignment horizontal="left" wrapText="1"/>
    </xf>
    <xf numFmtId="49" fontId="16" fillId="2" borderId="4" xfId="2" applyNumberFormat="1" applyFont="1" applyFill="1" applyBorder="1" applyAlignment="1">
      <alignment horizontal="center" wrapText="1"/>
    </xf>
    <xf numFmtId="0" fontId="16" fillId="2" borderId="3" xfId="2" applyFont="1" applyFill="1" applyBorder="1" applyAlignment="1">
      <alignment horizontal="center" wrapText="1"/>
    </xf>
    <xf numFmtId="0" fontId="16" fillId="2" borderId="8" xfId="2" applyFont="1" applyFill="1" applyBorder="1" applyAlignment="1">
      <alignment horizontal="center" wrapText="1"/>
    </xf>
    <xf numFmtId="0" fontId="17" fillId="2" borderId="11" xfId="2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wrapText="1"/>
    </xf>
    <xf numFmtId="0" fontId="17" fillId="2" borderId="13" xfId="2" applyFont="1" applyFill="1" applyBorder="1" applyAlignment="1">
      <alignment horizontal="left" wrapText="1"/>
    </xf>
    <xf numFmtId="0" fontId="5" fillId="2" borderId="12" xfId="2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_Sheet1" xfId="2" xr:uid="{F1A57751-6874-47F0-92D9-0B709A9CB2D2}"/>
    <cellStyle name="Normal_Template_UnitTest Case_v0.9" xfId="1" xr:uid="{FB2DBE7B-5051-4FD3-9B5A-1904A8F7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BF97-2899-4FDA-B43C-E9A58D4E198C}">
  <dimension ref="A1:C10"/>
  <sheetViews>
    <sheetView tabSelected="1" workbookViewId="0">
      <selection activeCell="A2" sqref="A2:C9"/>
    </sheetView>
  </sheetViews>
  <sheetFormatPr defaultRowHeight="14.4"/>
  <cols>
    <col min="1" max="1" width="8" bestFit="1" customWidth="1"/>
    <col min="2" max="2" width="32" customWidth="1"/>
    <col min="3" max="3" width="36.21875" customWidth="1"/>
  </cols>
  <sheetData>
    <row r="1" spans="1:3">
      <c r="A1" s="111" t="s">
        <v>87</v>
      </c>
      <c r="B1" s="111" t="s">
        <v>85</v>
      </c>
      <c r="C1" s="111" t="s">
        <v>86</v>
      </c>
    </row>
    <row r="2" spans="1:3">
      <c r="A2" s="112">
        <v>1</v>
      </c>
      <c r="B2" s="112" t="s">
        <v>88</v>
      </c>
      <c r="C2" s="112">
        <v>12</v>
      </c>
    </row>
    <row r="10" spans="1:3">
      <c r="A10" s="34" t="s">
        <v>81</v>
      </c>
      <c r="B10" s="108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285A-FDEA-4938-96BC-20F5395ED0FF}">
  <dimension ref="A1:V47"/>
  <sheetViews>
    <sheetView topLeftCell="A7" workbookViewId="0">
      <selection activeCell="U13" sqref="U13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2" width="9" style="100"/>
    <col min="23" max="23" width="24.21875" style="3" bestFit="1" customWidth="1"/>
    <col min="24" max="24" width="9" style="3"/>
    <col min="25" max="25" width="15.109375" style="3" bestFit="1" customWidth="1"/>
    <col min="26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2" ht="13.5" customHeight="1" thickBot="1">
      <c r="A1" s="1"/>
      <c r="B1" s="2"/>
    </row>
    <row r="2" spans="1:22" ht="13.5" customHeight="1">
      <c r="A2" s="170" t="s">
        <v>0</v>
      </c>
      <c r="B2" s="171"/>
      <c r="C2" s="172" t="s">
        <v>89</v>
      </c>
      <c r="D2" s="173"/>
      <c r="E2" s="174"/>
      <c r="F2" s="175" t="s">
        <v>1</v>
      </c>
      <c r="G2" s="176"/>
      <c r="H2" s="176"/>
      <c r="I2" s="176"/>
      <c r="J2" s="176"/>
      <c r="K2" s="176"/>
      <c r="L2" s="177" t="s">
        <v>90</v>
      </c>
      <c r="M2" s="178"/>
      <c r="N2" s="178"/>
      <c r="O2" s="178"/>
      <c r="P2" s="178"/>
      <c r="Q2" s="178"/>
      <c r="R2" s="178"/>
      <c r="S2" s="178"/>
      <c r="T2" s="179"/>
    </row>
    <row r="3" spans="1:22" ht="13.5" customHeight="1">
      <c r="A3" s="150" t="s">
        <v>2</v>
      </c>
      <c r="B3" s="151"/>
      <c r="C3" s="180" t="s">
        <v>3</v>
      </c>
      <c r="D3" s="181"/>
      <c r="E3" s="182"/>
      <c r="F3" s="154" t="s">
        <v>4</v>
      </c>
      <c r="G3" s="155"/>
      <c r="H3" s="155"/>
      <c r="I3" s="155"/>
      <c r="J3" s="155"/>
      <c r="K3" s="156"/>
      <c r="L3" s="183"/>
      <c r="M3" s="183"/>
      <c r="N3" s="183"/>
      <c r="O3" s="5"/>
      <c r="P3" s="5"/>
      <c r="Q3" s="5"/>
      <c r="R3" s="5"/>
      <c r="S3" s="5"/>
      <c r="T3" s="6"/>
    </row>
    <row r="4" spans="1:22" ht="13.5" customHeight="1">
      <c r="A4" s="150" t="s">
        <v>5</v>
      </c>
      <c r="B4" s="151"/>
      <c r="C4" s="152"/>
      <c r="D4" s="153"/>
      <c r="E4" s="7"/>
      <c r="F4" s="154" t="s">
        <v>6</v>
      </c>
      <c r="G4" s="155"/>
      <c r="H4" s="155"/>
      <c r="I4" s="155"/>
      <c r="J4" s="155"/>
      <c r="K4" s="156"/>
      <c r="L4" s="157">
        <v>-2</v>
      </c>
      <c r="M4" s="158"/>
      <c r="N4" s="158"/>
      <c r="O4" s="158"/>
      <c r="P4" s="158"/>
      <c r="Q4" s="158"/>
      <c r="R4" s="158"/>
      <c r="S4" s="158"/>
      <c r="T4" s="159"/>
    </row>
    <row r="5" spans="1:22" ht="13.5" customHeight="1">
      <c r="A5" s="150" t="s">
        <v>7</v>
      </c>
      <c r="B5" s="151"/>
      <c r="C5" s="160" t="s">
        <v>8</v>
      </c>
      <c r="D5" s="160"/>
      <c r="E5" s="160"/>
      <c r="F5" s="161"/>
      <c r="G5" s="161"/>
      <c r="H5" s="161"/>
      <c r="I5" s="161"/>
      <c r="J5" s="161"/>
      <c r="K5" s="161"/>
      <c r="L5" s="160"/>
      <c r="M5" s="160"/>
      <c r="N5" s="160"/>
      <c r="O5" s="160"/>
      <c r="P5" s="160"/>
      <c r="Q5" s="160"/>
      <c r="R5" s="160"/>
      <c r="S5" s="160"/>
      <c r="T5" s="160"/>
    </row>
    <row r="6" spans="1:22" ht="13.5" customHeight="1">
      <c r="A6" s="162" t="s">
        <v>9</v>
      </c>
      <c r="B6" s="163"/>
      <c r="C6" s="164" t="s">
        <v>10</v>
      </c>
      <c r="D6" s="165"/>
      <c r="E6" s="166"/>
      <c r="F6" s="164" t="s">
        <v>11</v>
      </c>
      <c r="G6" s="165"/>
      <c r="H6" s="165"/>
      <c r="I6" s="165"/>
      <c r="J6" s="165"/>
      <c r="K6" s="167"/>
      <c r="L6" s="165" t="s">
        <v>12</v>
      </c>
      <c r="M6" s="165"/>
      <c r="N6" s="165"/>
      <c r="O6" s="168" t="s">
        <v>13</v>
      </c>
      <c r="P6" s="165"/>
      <c r="Q6" s="165"/>
      <c r="R6" s="165"/>
      <c r="S6" s="165"/>
      <c r="T6" s="169"/>
    </row>
    <row r="7" spans="1:22" ht="13.5" customHeight="1" thickBot="1">
      <c r="A7" s="143">
        <f>COUNTIF(F40:HQ40,"P")</f>
        <v>0</v>
      </c>
      <c r="B7" s="144"/>
      <c r="C7" s="145">
        <f>COUNTIF(F40:HQ40,"F")</f>
        <v>0</v>
      </c>
      <c r="D7" s="146"/>
      <c r="E7" s="144"/>
      <c r="F7" s="145">
        <f>SUM(O7,- A7,- C7)</f>
        <v>2</v>
      </c>
      <c r="G7" s="146"/>
      <c r="H7" s="146"/>
      <c r="I7" s="146"/>
      <c r="J7" s="146"/>
      <c r="K7" s="147"/>
      <c r="L7" s="31">
        <f>COUNTIF(E39:HQ39,"N")</f>
        <v>1</v>
      </c>
      <c r="M7" s="31">
        <f>COUNTIF(E39:HQ39,"A")</f>
        <v>1</v>
      </c>
      <c r="N7" s="31">
        <f>COUNTIF(E39:HQ39,"B")</f>
        <v>0</v>
      </c>
      <c r="O7" s="148">
        <f>COUNTA(E9:HT9)</f>
        <v>2</v>
      </c>
      <c r="P7" s="146"/>
      <c r="Q7" s="146"/>
      <c r="R7" s="146"/>
      <c r="S7" s="146"/>
      <c r="T7" s="149"/>
      <c r="U7" s="8"/>
    </row>
    <row r="8" spans="1:22" ht="10.8" thickBot="1"/>
    <row r="9" spans="1:22" ht="46.5" customHeight="1" thickBot="1">
      <c r="A9" s="127"/>
      <c r="B9" s="128"/>
      <c r="C9" s="128"/>
      <c r="D9" s="128"/>
      <c r="E9" s="43"/>
      <c r="F9" s="53" t="s">
        <v>14</v>
      </c>
      <c r="G9" s="53" t="s">
        <v>15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34"/>
      <c r="V9" s="101"/>
    </row>
    <row r="10" spans="1:22" ht="13.5" customHeight="1">
      <c r="A10" s="47" t="s">
        <v>16</v>
      </c>
      <c r="B10" s="44" t="s">
        <v>17</v>
      </c>
      <c r="C10" s="56"/>
      <c r="D10" s="57"/>
      <c r="E10" s="5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35"/>
    </row>
    <row r="11" spans="1:22" ht="13.5" customHeight="1">
      <c r="A11" s="48"/>
      <c r="B11" s="45"/>
      <c r="C11" s="11"/>
      <c r="D11" s="29" t="s">
        <v>47</v>
      </c>
      <c r="E11" s="59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36"/>
      <c r="V11" s="101"/>
    </row>
    <row r="12" spans="1:22" ht="13.5" customHeight="1">
      <c r="A12" s="48"/>
      <c r="B12" s="45"/>
      <c r="C12" s="11"/>
      <c r="D12" s="29"/>
      <c r="E12" s="59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36"/>
    </row>
    <row r="13" spans="1:22" ht="13.5" customHeight="1">
      <c r="A13" s="48"/>
      <c r="B13" s="45" t="s">
        <v>42</v>
      </c>
      <c r="C13" s="11"/>
      <c r="D13" s="29"/>
      <c r="E13" s="60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36"/>
    </row>
    <row r="14" spans="1:22" ht="15.6" customHeight="1">
      <c r="A14" s="48"/>
      <c r="B14" s="46" t="s">
        <v>43</v>
      </c>
      <c r="C14" s="11"/>
      <c r="D14" s="29"/>
      <c r="E14" s="6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36"/>
    </row>
    <row r="15" spans="1:22" ht="13.5" customHeight="1">
      <c r="A15" s="48"/>
      <c r="B15" s="45"/>
      <c r="C15" s="11"/>
      <c r="D15" s="29" t="s">
        <v>46</v>
      </c>
      <c r="E15" s="61"/>
      <c r="F15" s="13" t="s">
        <v>18</v>
      </c>
      <c r="G15" s="13" t="s">
        <v>18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36"/>
    </row>
    <row r="16" spans="1:22" ht="13.5" customHeight="1">
      <c r="A16" s="48"/>
      <c r="B16" s="45"/>
      <c r="C16" s="11"/>
      <c r="D16" s="29" t="s">
        <v>46</v>
      </c>
      <c r="E16" s="61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36"/>
    </row>
    <row r="17" spans="1:21" ht="13.5" customHeight="1">
      <c r="A17" s="48"/>
      <c r="B17" s="45"/>
      <c r="C17" s="11"/>
      <c r="D17" s="29" t="s">
        <v>46</v>
      </c>
      <c r="E17" s="61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36"/>
      <c r="U17" s="14"/>
    </row>
    <row r="18" spans="1:21" ht="13.5" customHeight="1">
      <c r="A18" s="48"/>
      <c r="B18" s="46" t="s">
        <v>44</v>
      </c>
      <c r="C18" s="11"/>
      <c r="D18" s="29"/>
      <c r="E18" s="61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36"/>
      <c r="U18" s="14"/>
    </row>
    <row r="19" spans="1:21" ht="13.5" customHeight="1">
      <c r="A19" s="48"/>
      <c r="B19" s="45"/>
      <c r="C19" s="11"/>
      <c r="D19" s="129" t="s">
        <v>46</v>
      </c>
      <c r="E19" s="130"/>
      <c r="F19" s="13" t="s">
        <v>18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36"/>
    </row>
    <row r="20" spans="1:21" ht="13.5" customHeight="1">
      <c r="A20" s="48"/>
      <c r="B20" s="45"/>
      <c r="C20" s="11"/>
      <c r="D20" s="139" t="s">
        <v>46</v>
      </c>
      <c r="E20" s="140"/>
      <c r="F20" s="13"/>
      <c r="G20" s="13" t="s">
        <v>18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36"/>
    </row>
    <row r="21" spans="1:21" ht="13.5" customHeight="1">
      <c r="A21" s="48"/>
      <c r="B21" s="45"/>
      <c r="C21" s="11"/>
      <c r="D21" s="141" t="s">
        <v>46</v>
      </c>
      <c r="E21" s="14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36"/>
    </row>
    <row r="22" spans="1:21" ht="13.5" customHeight="1">
      <c r="A22" s="48"/>
      <c r="B22" s="46" t="s">
        <v>45</v>
      </c>
      <c r="C22" s="11"/>
      <c r="D22" s="29"/>
      <c r="E22" s="61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36"/>
    </row>
    <row r="23" spans="1:21" ht="13.5" customHeight="1">
      <c r="A23" s="48"/>
      <c r="B23" s="45"/>
      <c r="C23" s="11"/>
      <c r="D23" s="129" t="s">
        <v>46</v>
      </c>
      <c r="E23" s="130"/>
      <c r="F23" s="13" t="s">
        <v>18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36"/>
    </row>
    <row r="24" spans="1:21" ht="13.5" customHeight="1">
      <c r="A24" s="48"/>
      <c r="B24" s="45"/>
      <c r="C24" s="11"/>
      <c r="D24" s="129" t="s">
        <v>46</v>
      </c>
      <c r="E24" s="130"/>
      <c r="F24" s="13"/>
      <c r="G24" s="13" t="s">
        <v>18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36"/>
    </row>
    <row r="25" spans="1:21" ht="13.5" customHeight="1">
      <c r="A25" s="48"/>
      <c r="B25" s="45"/>
      <c r="C25" s="11"/>
      <c r="D25" s="63"/>
      <c r="E25" s="61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36"/>
    </row>
    <row r="26" spans="1:21" ht="13.5" customHeight="1">
      <c r="A26" s="48"/>
      <c r="B26" s="45"/>
      <c r="C26" s="11"/>
      <c r="D26" s="12"/>
      <c r="E26" s="6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36"/>
    </row>
    <row r="27" spans="1:21" ht="13.5" customHeight="1">
      <c r="A27" s="48"/>
      <c r="B27" s="45"/>
      <c r="C27" s="11"/>
      <c r="D27" s="12"/>
      <c r="E27" s="6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36"/>
    </row>
    <row r="28" spans="1:21" ht="13.5" customHeight="1">
      <c r="A28" s="48"/>
      <c r="B28" s="45"/>
      <c r="C28" s="11"/>
      <c r="D28" s="12"/>
      <c r="E28" s="6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36"/>
    </row>
    <row r="29" spans="1:21" ht="13.5" customHeight="1">
      <c r="A29" s="48"/>
      <c r="B29" s="64"/>
      <c r="C29" s="11"/>
      <c r="D29" s="12"/>
      <c r="E29" s="6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36"/>
    </row>
    <row r="30" spans="1:21" ht="13.5" customHeight="1" thickBot="1">
      <c r="A30" s="51"/>
      <c r="B30" s="65"/>
      <c r="C30" s="66"/>
      <c r="D30" s="67"/>
      <c r="E30" s="6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37"/>
    </row>
    <row r="31" spans="1:21" ht="13.5" customHeight="1">
      <c r="A31" s="52" t="s">
        <v>19</v>
      </c>
      <c r="B31" s="71" t="s">
        <v>20</v>
      </c>
      <c r="C31" s="72"/>
      <c r="D31" s="73"/>
      <c r="E31" s="74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</row>
    <row r="32" spans="1:21" ht="13.5" customHeight="1">
      <c r="A32" s="49"/>
      <c r="B32" s="77"/>
      <c r="C32" s="15"/>
      <c r="D32" s="30" t="s">
        <v>48</v>
      </c>
      <c r="E32" s="17"/>
      <c r="F32" s="13" t="s">
        <v>18</v>
      </c>
      <c r="G32" s="13" t="s">
        <v>18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36"/>
    </row>
    <row r="33" spans="1:20" ht="13.5" customHeight="1">
      <c r="A33" s="49"/>
      <c r="B33" s="77"/>
      <c r="C33" s="18"/>
      <c r="D33" s="30" t="s">
        <v>49</v>
      </c>
      <c r="E33" s="19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36"/>
    </row>
    <row r="34" spans="1:20" ht="13.5" customHeight="1">
      <c r="A34" s="49"/>
      <c r="B34" s="77" t="s">
        <v>21</v>
      </c>
      <c r="C34" s="18"/>
      <c r="D34" s="16"/>
      <c r="E34" s="19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36"/>
    </row>
    <row r="35" spans="1:20" ht="13.5" customHeight="1">
      <c r="A35" s="49"/>
      <c r="B35" s="77"/>
      <c r="C35" s="18"/>
      <c r="D35" s="16"/>
      <c r="E35" s="19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36"/>
    </row>
    <row r="36" spans="1:20" ht="13.5" customHeight="1">
      <c r="A36" s="49"/>
      <c r="B36" s="77" t="s">
        <v>22</v>
      </c>
      <c r="C36" s="18"/>
      <c r="D36" s="16"/>
      <c r="E36" s="19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36"/>
    </row>
    <row r="37" spans="1:20" ht="13.5" customHeight="1">
      <c r="A37" s="49"/>
      <c r="B37" s="77"/>
      <c r="C37" s="18"/>
      <c r="D37" s="30" t="s">
        <v>50</v>
      </c>
      <c r="E37" s="19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36"/>
    </row>
    <row r="38" spans="1:20" ht="13.5" customHeight="1" thickBot="1">
      <c r="A38" s="50"/>
      <c r="B38" s="78"/>
      <c r="C38" s="79"/>
      <c r="D38" s="80" t="s">
        <v>50</v>
      </c>
      <c r="E38" s="81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3"/>
    </row>
    <row r="39" spans="1:20" ht="13.5" customHeight="1">
      <c r="A39" s="49" t="s">
        <v>23</v>
      </c>
      <c r="B39" s="131" t="s">
        <v>24</v>
      </c>
      <c r="C39" s="132"/>
      <c r="D39" s="132"/>
      <c r="E39" s="68"/>
      <c r="F39" s="69" t="s">
        <v>25</v>
      </c>
      <c r="G39" s="69" t="s">
        <v>26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70"/>
    </row>
    <row r="40" spans="1:20" ht="13.5" customHeight="1">
      <c r="A40" s="49"/>
      <c r="B40" s="133" t="s">
        <v>27</v>
      </c>
      <c r="C40" s="134"/>
      <c r="D40" s="134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38"/>
    </row>
    <row r="41" spans="1:20" ht="13.5" customHeight="1">
      <c r="A41" s="49"/>
      <c r="B41" s="135" t="s">
        <v>28</v>
      </c>
      <c r="C41" s="136"/>
      <c r="D41" s="136"/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39"/>
    </row>
    <row r="42" spans="1:20" ht="10.8" thickBot="1">
      <c r="A42" s="50"/>
      <c r="B42" s="137" t="s">
        <v>29</v>
      </c>
      <c r="C42" s="138"/>
      <c r="D42" s="138"/>
      <c r="E42" s="40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</row>
    <row r="43" spans="1:20">
      <c r="A43" s="25"/>
    </row>
    <row r="46" spans="1:20">
      <c r="A46" s="34" t="s">
        <v>81</v>
      </c>
      <c r="B46" s="108" t="s">
        <v>80</v>
      </c>
    </row>
    <row r="47" spans="1:20">
      <c r="B47" s="32" t="s">
        <v>51</v>
      </c>
      <c r="C47" s="33"/>
    </row>
  </sheetData>
  <mergeCells count="3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2:D42"/>
    <mergeCell ref="D20:E20"/>
    <mergeCell ref="D21:E21"/>
    <mergeCell ref="D23:E23"/>
    <mergeCell ref="D24:E24"/>
    <mergeCell ref="A9:D9"/>
    <mergeCell ref="D19:E19"/>
    <mergeCell ref="B39:D39"/>
    <mergeCell ref="B40:D40"/>
    <mergeCell ref="B41:D41"/>
  </mergeCells>
  <dataValidations count="3">
    <dataValidation type="list" allowBlank="1" showInputMessage="1" showErrorMessage="1" sqref="F10:T38 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F65546:T65574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F131082:T131110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F196618:T196646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F262154:T262182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F327690:T327718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F393226:T393254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F458762:T458790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F524298:T524326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F589834:T589862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F655370:T655398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F720906:T720934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F786442:T786470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F851978:T852006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F917514:T917542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F983050:T983078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" xr:uid="{31A0521F-9DA4-4728-BFCC-F5F5589FE604}">
      <formula1>"O, "</formula1>
    </dataValidation>
    <dataValidation type="list" allowBlank="1" showInputMessage="1" showErrorMessage="1" sqref="F40:T40 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F65576:T65576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F131112:T131112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F196648:T196648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F262184:T262184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F327720:T327720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F393256:T393256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F458792:T458792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F524328:T524328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F589864:T589864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F655400:T655400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F720936:T720936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F786472:T786472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F852008:T852008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F917544:T917544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F983080:T983080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" xr:uid="{EEC729EE-B923-4699-8755-392492C7FE70}">
      <formula1>"P,F, "</formula1>
    </dataValidation>
    <dataValidation type="list" allowBlank="1" showInputMessage="1" showErrorMessage="1" sqref="F39:T39 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F65575:T65575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F131111:T131111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F196647:T196647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F262183:T262183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F327719:T327719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F393255:T393255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F458791:T458791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F524327:T524327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F589863:T589863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F655399:T655399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F720935:T720935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F786471:T786471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F852007:T852007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F917543:T917543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F983079:T983079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" xr:uid="{8A206487-372A-40D3-B899-C8BDD766BFDA}">
      <formula1>"N,A,B, 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1A23-E457-41AC-B4CD-428A2B6AA909}">
  <dimension ref="A1:I28"/>
  <sheetViews>
    <sheetView workbookViewId="0">
      <selection activeCell="A24" sqref="A24:B24"/>
    </sheetView>
  </sheetViews>
  <sheetFormatPr defaultRowHeight="14.4"/>
  <cols>
    <col min="1" max="1" width="14.44140625" bestFit="1" customWidth="1"/>
    <col min="2" max="2" width="13.77734375" bestFit="1" customWidth="1"/>
    <col min="4" max="4" width="15.21875" bestFit="1" customWidth="1"/>
    <col min="6" max="6" width="15.21875" bestFit="1" customWidth="1"/>
    <col min="8" max="8" width="16.6640625" bestFit="1" customWidth="1"/>
    <col min="12" max="12" width="26.21875" customWidth="1"/>
    <col min="13" max="13" width="29.44140625" customWidth="1"/>
  </cols>
  <sheetData>
    <row r="1" spans="1:9">
      <c r="A1" s="184" t="s">
        <v>94</v>
      </c>
      <c r="B1" s="184"/>
      <c r="C1" s="184"/>
      <c r="D1" s="184"/>
      <c r="E1" s="184"/>
      <c r="F1" s="184"/>
      <c r="G1" s="184"/>
      <c r="H1" s="184"/>
      <c r="I1" s="184"/>
    </row>
    <row r="3" spans="1:9">
      <c r="A3" s="104" t="s">
        <v>16</v>
      </c>
      <c r="B3" s="104" t="s">
        <v>56</v>
      </c>
      <c r="C3" s="104" t="s">
        <v>54</v>
      </c>
      <c r="D3" s="104" t="s">
        <v>55</v>
      </c>
      <c r="E3" s="104" t="s">
        <v>54</v>
      </c>
      <c r="F3" s="104" t="s">
        <v>57</v>
      </c>
      <c r="G3" s="104" t="s">
        <v>54</v>
      </c>
      <c r="H3" s="104" t="s">
        <v>58</v>
      </c>
      <c r="I3" s="104" t="s">
        <v>54</v>
      </c>
    </row>
    <row r="4" spans="1:9">
      <c r="A4" s="185" t="s">
        <v>59</v>
      </c>
      <c r="B4" s="107" t="s">
        <v>60</v>
      </c>
      <c r="C4" s="107" t="s">
        <v>61</v>
      </c>
      <c r="D4" s="107" t="s">
        <v>62</v>
      </c>
      <c r="E4" s="107" t="s">
        <v>63</v>
      </c>
      <c r="F4" s="107" t="s">
        <v>64</v>
      </c>
      <c r="G4" s="107" t="s">
        <v>65</v>
      </c>
      <c r="H4" s="107" t="s">
        <v>66</v>
      </c>
      <c r="I4" s="107" t="s">
        <v>67</v>
      </c>
    </row>
    <row r="5" spans="1:9">
      <c r="A5" s="186"/>
      <c r="B5" s="107" t="s">
        <v>68</v>
      </c>
      <c r="C5" s="107" t="s">
        <v>69</v>
      </c>
      <c r="D5" s="107" t="s">
        <v>70</v>
      </c>
      <c r="E5" s="107" t="s">
        <v>71</v>
      </c>
      <c r="F5" s="107" t="s">
        <v>72</v>
      </c>
      <c r="G5" s="107" t="s">
        <v>73</v>
      </c>
      <c r="H5" s="107" t="s">
        <v>74</v>
      </c>
      <c r="I5" s="107" t="s">
        <v>75</v>
      </c>
    </row>
    <row r="6" spans="1:9">
      <c r="A6" s="187"/>
      <c r="B6" s="107"/>
      <c r="C6" s="107"/>
      <c r="D6" s="107" t="s">
        <v>76</v>
      </c>
      <c r="E6" s="107" t="s">
        <v>77</v>
      </c>
      <c r="F6" s="107"/>
      <c r="G6" s="107"/>
      <c r="H6" s="107" t="s">
        <v>78</v>
      </c>
      <c r="I6" s="107" t="s">
        <v>79</v>
      </c>
    </row>
    <row r="7" spans="1:9">
      <c r="A7" s="26"/>
      <c r="B7" s="26"/>
      <c r="C7" s="26"/>
      <c r="D7" s="26"/>
      <c r="E7" s="26"/>
      <c r="F7" s="26"/>
      <c r="G7" s="26"/>
      <c r="H7" s="26"/>
      <c r="I7" s="26"/>
    </row>
    <row r="8" spans="1:9">
      <c r="A8" s="26"/>
      <c r="B8" s="26"/>
      <c r="C8" s="26"/>
      <c r="D8" s="26"/>
      <c r="E8" s="26"/>
      <c r="F8" s="26"/>
      <c r="G8" s="26"/>
      <c r="H8" s="26"/>
      <c r="I8" s="26"/>
    </row>
    <row r="9" spans="1:9">
      <c r="A9" s="26"/>
      <c r="B9" s="26"/>
      <c r="C9" s="26"/>
      <c r="D9" s="26"/>
      <c r="E9" s="26"/>
      <c r="F9" s="26"/>
      <c r="G9" s="26"/>
      <c r="H9" s="26"/>
      <c r="I9" s="26"/>
    </row>
    <row r="10" spans="1:9">
      <c r="A10" s="26"/>
      <c r="B10" s="26"/>
      <c r="C10" s="26"/>
      <c r="D10" s="26"/>
      <c r="E10" s="26"/>
      <c r="F10" s="26"/>
      <c r="G10" s="26"/>
      <c r="H10" s="26"/>
      <c r="I10" s="26"/>
    </row>
    <row r="11" spans="1:9">
      <c r="A11" s="26"/>
      <c r="B11" s="26"/>
      <c r="C11" s="26"/>
      <c r="D11" s="26"/>
      <c r="E11" s="26"/>
      <c r="F11" s="26"/>
      <c r="G11" s="26"/>
      <c r="H11" s="26"/>
      <c r="I11" s="26"/>
    </row>
    <row r="12" spans="1:9">
      <c r="A12" s="26"/>
      <c r="B12" s="26"/>
      <c r="C12" s="26"/>
      <c r="D12" s="26"/>
      <c r="E12" s="26"/>
      <c r="F12" s="26"/>
      <c r="G12" s="26"/>
      <c r="H12" s="26"/>
      <c r="I12" s="26"/>
    </row>
    <row r="13" spans="1:9">
      <c r="A13" s="26"/>
      <c r="B13" s="26"/>
      <c r="C13" s="26"/>
      <c r="D13" s="26"/>
      <c r="E13" s="26"/>
      <c r="F13" s="26"/>
      <c r="G13" s="26"/>
      <c r="H13" s="26"/>
      <c r="I13" s="26"/>
    </row>
    <row r="14" spans="1:9">
      <c r="A14" s="26"/>
      <c r="B14" s="26"/>
      <c r="C14" s="26"/>
      <c r="D14" s="26"/>
      <c r="E14" s="26"/>
      <c r="F14" s="26"/>
      <c r="G14" s="26"/>
      <c r="H14" s="26"/>
      <c r="I14" s="26"/>
    </row>
    <row r="15" spans="1:9">
      <c r="A15" s="26"/>
      <c r="B15" s="26"/>
      <c r="C15" s="26"/>
      <c r="D15" s="26"/>
      <c r="E15" s="26"/>
      <c r="F15" s="26"/>
      <c r="G15" s="26"/>
      <c r="H15" s="26"/>
      <c r="I15" s="26"/>
    </row>
    <row r="16" spans="1:9">
      <c r="A16" s="26"/>
      <c r="B16" s="26"/>
      <c r="C16" s="26"/>
      <c r="D16" s="26"/>
      <c r="E16" s="26"/>
      <c r="F16" s="26"/>
      <c r="G16" s="26"/>
      <c r="H16" s="26"/>
      <c r="I16" s="26"/>
    </row>
    <row r="17" spans="1:9">
      <c r="A17" s="26"/>
      <c r="B17" s="26"/>
      <c r="C17" s="26"/>
      <c r="D17" s="26"/>
      <c r="E17" s="26"/>
      <c r="F17" s="26"/>
      <c r="G17" s="26"/>
      <c r="H17" s="26"/>
      <c r="I17" s="26"/>
    </row>
    <row r="18" spans="1:9">
      <c r="A18" s="105"/>
      <c r="B18" s="26"/>
      <c r="C18" s="26"/>
      <c r="D18" s="26"/>
      <c r="E18" s="26"/>
      <c r="F18" s="26"/>
      <c r="G18" s="26"/>
      <c r="H18" s="26"/>
      <c r="I18" s="26"/>
    </row>
    <row r="19" spans="1:9">
      <c r="A19" s="26"/>
      <c r="B19" s="26"/>
      <c r="C19" s="26"/>
      <c r="D19" s="26"/>
      <c r="E19" s="26"/>
      <c r="F19" s="26"/>
      <c r="G19" s="26"/>
      <c r="H19" s="26"/>
      <c r="I19" s="26"/>
    </row>
    <row r="20" spans="1:9">
      <c r="A20" s="106"/>
      <c r="B20" s="26"/>
      <c r="C20" s="26"/>
      <c r="D20" s="26"/>
      <c r="E20" s="26"/>
      <c r="F20" s="26"/>
      <c r="G20" s="26"/>
      <c r="H20" s="26"/>
      <c r="I20" s="26"/>
    </row>
    <row r="21" spans="1:9">
      <c r="A21" s="106"/>
      <c r="B21" s="26"/>
      <c r="C21" s="26"/>
      <c r="D21" s="26"/>
      <c r="E21" s="26"/>
      <c r="F21" s="26"/>
      <c r="G21" s="26"/>
      <c r="H21" s="26"/>
      <c r="I21" s="26"/>
    </row>
    <row r="22" spans="1:9">
      <c r="A22" s="106"/>
      <c r="B22" s="26"/>
      <c r="C22" s="26"/>
      <c r="D22" s="26"/>
      <c r="E22" s="26"/>
      <c r="F22" s="26"/>
      <c r="G22" s="26"/>
      <c r="H22" s="26"/>
      <c r="I22" s="26"/>
    </row>
    <row r="24" spans="1:9">
      <c r="A24" s="34" t="s">
        <v>81</v>
      </c>
      <c r="B24" s="108" t="s">
        <v>80</v>
      </c>
      <c r="C24" s="34"/>
      <c r="D24" s="3"/>
    </row>
    <row r="25" spans="1:9">
      <c r="A25" s="14"/>
      <c r="B25" s="9"/>
      <c r="C25" s="102"/>
      <c r="D25" s="34"/>
    </row>
    <row r="26" spans="1:9">
      <c r="A26" s="101"/>
      <c r="B26" s="103"/>
      <c r="C26" s="4"/>
      <c r="D26" s="3"/>
    </row>
    <row r="27" spans="1:9">
      <c r="A27" s="100"/>
      <c r="B27" s="3"/>
      <c r="C27" s="3"/>
      <c r="D27" s="3"/>
    </row>
    <row r="28" spans="1:9">
      <c r="A28" s="101"/>
      <c r="B28" s="3"/>
      <c r="C28" s="3"/>
      <c r="D28" s="3"/>
    </row>
  </sheetData>
  <mergeCells count="2">
    <mergeCell ref="A1:I1"/>
    <mergeCell ref="A4:A6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7914-1CD6-46A3-A608-AAAC55461AD7}">
  <dimension ref="A1:D24"/>
  <sheetViews>
    <sheetView topLeftCell="A4" workbookViewId="0">
      <selection activeCell="A24" sqref="A24:B24"/>
    </sheetView>
  </sheetViews>
  <sheetFormatPr defaultRowHeight="14.4"/>
  <cols>
    <col min="1" max="1" width="11.6640625" bestFit="1" customWidth="1"/>
    <col min="2" max="2" width="29.6640625" customWidth="1"/>
    <col min="3" max="3" width="38.5546875" customWidth="1"/>
    <col min="4" max="4" width="22.21875" bestFit="1" customWidth="1"/>
  </cols>
  <sheetData>
    <row r="1" spans="1:4">
      <c r="A1" s="184" t="s">
        <v>92</v>
      </c>
      <c r="B1" s="184"/>
      <c r="C1" s="184"/>
      <c r="D1" s="184"/>
    </row>
    <row r="3" spans="1:4">
      <c r="A3" s="98" t="s">
        <v>31</v>
      </c>
      <c r="B3" s="99" t="s">
        <v>85</v>
      </c>
      <c r="C3" s="99" t="s">
        <v>32</v>
      </c>
      <c r="D3" s="99" t="s">
        <v>30</v>
      </c>
    </row>
    <row r="4" spans="1:4" ht="57.6">
      <c r="A4" s="109">
        <v>1</v>
      </c>
      <c r="B4" s="110" t="s">
        <v>83</v>
      </c>
      <c r="C4" s="110" t="s">
        <v>84</v>
      </c>
      <c r="D4" s="110" t="s">
        <v>82</v>
      </c>
    </row>
    <row r="5" spans="1:4">
      <c r="A5" s="27">
        <v>2</v>
      </c>
      <c r="B5" s="26"/>
      <c r="C5" s="26"/>
      <c r="D5" s="26"/>
    </row>
    <row r="6" spans="1:4">
      <c r="A6" s="27">
        <v>3</v>
      </c>
      <c r="B6" s="26"/>
      <c r="C6" s="26"/>
      <c r="D6" s="26"/>
    </row>
    <row r="7" spans="1:4">
      <c r="A7" s="27">
        <v>4</v>
      </c>
      <c r="B7" s="26"/>
      <c r="C7" s="26"/>
      <c r="D7" s="26"/>
    </row>
    <row r="8" spans="1:4">
      <c r="A8" s="27">
        <v>5</v>
      </c>
      <c r="B8" s="26"/>
      <c r="C8" s="26"/>
      <c r="D8" s="26"/>
    </row>
    <row r="9" spans="1:4">
      <c r="A9" s="27">
        <v>6</v>
      </c>
      <c r="B9" s="26"/>
      <c r="C9" s="26"/>
      <c r="D9" s="26"/>
    </row>
    <row r="10" spans="1:4">
      <c r="A10" s="27">
        <v>7</v>
      </c>
      <c r="B10" s="26"/>
      <c r="C10" s="26"/>
      <c r="D10" s="26"/>
    </row>
    <row r="11" spans="1:4">
      <c r="A11" s="27">
        <v>8</v>
      </c>
      <c r="B11" s="26"/>
      <c r="C11" s="26"/>
      <c r="D11" s="26"/>
    </row>
    <row r="12" spans="1:4">
      <c r="A12" s="27">
        <v>9</v>
      </c>
      <c r="B12" s="26"/>
      <c r="C12" s="26"/>
      <c r="D12" s="26"/>
    </row>
    <row r="13" spans="1:4">
      <c r="A13" s="27">
        <v>10</v>
      </c>
      <c r="B13" s="26"/>
      <c r="C13" s="26"/>
      <c r="D13" s="26"/>
    </row>
    <row r="14" spans="1:4">
      <c r="A14" s="27"/>
      <c r="B14" s="26"/>
      <c r="C14" s="26"/>
      <c r="D14" s="26"/>
    </row>
    <row r="15" spans="1:4">
      <c r="A15" s="27"/>
      <c r="B15" s="26"/>
      <c r="C15" s="26"/>
      <c r="D15" s="26"/>
    </row>
    <row r="16" spans="1:4">
      <c r="A16" s="27"/>
      <c r="B16" s="26"/>
      <c r="C16" s="26"/>
      <c r="D16" s="26"/>
    </row>
    <row r="17" spans="1:4">
      <c r="A17" s="27"/>
      <c r="B17" s="26"/>
      <c r="C17" s="26"/>
      <c r="D17" s="26"/>
    </row>
    <row r="18" spans="1:4">
      <c r="A18" s="27"/>
      <c r="B18" s="26"/>
      <c r="C18" s="26"/>
      <c r="D18" s="26"/>
    </row>
    <row r="19" spans="1:4">
      <c r="A19" s="27"/>
      <c r="B19" s="26"/>
      <c r="C19" s="26"/>
      <c r="D19" s="26"/>
    </row>
    <row r="20" spans="1:4">
      <c r="A20" s="27"/>
      <c r="B20" s="26"/>
      <c r="C20" s="26"/>
      <c r="D20" s="26"/>
    </row>
    <row r="21" spans="1:4">
      <c r="A21" s="27"/>
      <c r="B21" s="26"/>
      <c r="C21" s="26"/>
      <c r="D21" s="26"/>
    </row>
    <row r="22" spans="1:4">
      <c r="A22" s="27"/>
      <c r="B22" s="26"/>
      <c r="C22" s="26"/>
      <c r="D22" s="26"/>
    </row>
    <row r="24" spans="1:4">
      <c r="A24" s="34" t="s">
        <v>81</v>
      </c>
      <c r="B24" s="108" t="s">
        <v>80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2789-178C-45A0-855A-1F60B8949DE2}">
  <dimension ref="A1:I82"/>
  <sheetViews>
    <sheetView workbookViewId="0">
      <selection activeCell="A82" sqref="A82:B82"/>
    </sheetView>
  </sheetViews>
  <sheetFormatPr defaultColWidth="9" defaultRowHeight="10.199999999999999"/>
  <cols>
    <col min="1" max="1" width="8" style="28" bestFit="1" customWidth="1"/>
    <col min="2" max="2" width="23" style="28" customWidth="1"/>
    <col min="3" max="3" width="11" style="28" bestFit="1" customWidth="1"/>
    <col min="4" max="4" width="23.5546875" style="28" customWidth="1"/>
    <col min="5" max="5" width="20.77734375" style="28" customWidth="1"/>
    <col min="6" max="6" width="11.109375" style="28" customWidth="1"/>
    <col min="7" max="7" width="10.44140625" style="28" customWidth="1"/>
    <col min="8" max="8" width="14.109375" style="28" customWidth="1"/>
    <col min="9" max="9" width="17.21875" style="28" customWidth="1"/>
    <col min="10" max="16384" width="9" style="28"/>
  </cols>
  <sheetData>
    <row r="1" spans="1:9" ht="13.8">
      <c r="A1" s="113"/>
      <c r="B1" s="113"/>
      <c r="C1" s="114"/>
      <c r="D1" s="115" t="str">
        <f>"Pass: "&amp;COUNTIF($F$6:$F$1011,"Pass")</f>
        <v>Pass: 0</v>
      </c>
      <c r="E1" s="116" t="str">
        <f>"Untested: "&amp;COUNTIF($F$6:$F$1011,"Untest")</f>
        <v>Untested: 0</v>
      </c>
      <c r="F1" s="113"/>
      <c r="G1" s="117"/>
      <c r="H1" s="118"/>
      <c r="I1" s="118"/>
    </row>
    <row r="2" spans="1:9" ht="26.4">
      <c r="A2" s="119" t="s">
        <v>33</v>
      </c>
      <c r="B2" s="120" t="s">
        <v>91</v>
      </c>
      <c r="C2" s="121"/>
      <c r="D2" s="115" t="str">
        <f>"Fail: "&amp;COUNTIF($F$6:$F$1011,"Fail")</f>
        <v>Fail: 0</v>
      </c>
      <c r="E2" s="116" t="str">
        <f>"N/A: "&amp;COUNTIF($F$6:$F$1011,"N/A")</f>
        <v>N/A: 0</v>
      </c>
      <c r="F2" s="113"/>
      <c r="G2" s="117"/>
      <c r="H2" s="118"/>
      <c r="I2" s="118"/>
    </row>
    <row r="3" spans="1:9" ht="13.8">
      <c r="A3" s="122" t="s">
        <v>34</v>
      </c>
      <c r="B3" s="120" t="s">
        <v>52</v>
      </c>
      <c r="C3" s="122"/>
      <c r="D3" s="123" t="str">
        <f>"Percent Complete: "&amp;ROUND((COUNTIF($F$6:$F$1011,"Pass")*100)/((COUNTA($A$6:$A$1011)*5)-COUNTIF($F$5:$F$1021,"N/A")),2)&amp;"%"</f>
        <v>Percent Complete: 0%</v>
      </c>
      <c r="E3" s="124" t="str">
        <f>"Number of cases: "&amp;(COUNTA($A$5:$A$1011))</f>
        <v>Number of cases: 2</v>
      </c>
      <c r="F3" s="113"/>
      <c r="G3" s="125"/>
      <c r="H3" s="118"/>
      <c r="I3" s="118"/>
    </row>
    <row r="4" spans="1:9" ht="20.399999999999999">
      <c r="A4" s="84" t="s">
        <v>35</v>
      </c>
      <c r="B4" s="84" t="s">
        <v>36</v>
      </c>
      <c r="C4" s="84" t="s">
        <v>37</v>
      </c>
      <c r="D4" s="84" t="s">
        <v>38</v>
      </c>
      <c r="E4" s="84" t="s">
        <v>39</v>
      </c>
      <c r="F4" s="84" t="s">
        <v>23</v>
      </c>
      <c r="G4" s="85" t="s">
        <v>40</v>
      </c>
      <c r="H4" s="84" t="s">
        <v>53</v>
      </c>
      <c r="I4" s="84" t="s">
        <v>41</v>
      </c>
    </row>
    <row r="5" spans="1:9">
      <c r="A5" s="95"/>
      <c r="B5" s="90"/>
      <c r="C5" s="90"/>
      <c r="D5" s="91"/>
      <c r="E5" s="91"/>
      <c r="F5" s="90"/>
      <c r="G5" s="91"/>
      <c r="H5" s="93"/>
      <c r="I5" s="90"/>
    </row>
    <row r="6" spans="1:9">
      <c r="A6" s="90" t="str">
        <f t="shared" ref="A6" si="0">IF(OR(B6&lt;&gt;"",E6&lt;&gt;""),"["&amp;TEXT($B$2,"#")&amp;"-"&amp;TEXT(ROW()-4,"##")&amp;"]","")</f>
        <v/>
      </c>
      <c r="B6" s="90"/>
      <c r="C6" s="91"/>
      <c r="D6" s="91"/>
      <c r="E6" s="91"/>
      <c r="F6" s="90"/>
      <c r="G6" s="88"/>
      <c r="H6" s="92"/>
      <c r="I6" s="90"/>
    </row>
    <row r="7" spans="1:9">
      <c r="A7" s="90"/>
      <c r="B7" s="90"/>
      <c r="C7" s="91"/>
      <c r="D7" s="91"/>
      <c r="E7" s="91"/>
      <c r="F7" s="90"/>
      <c r="G7" s="88"/>
      <c r="H7" s="93"/>
      <c r="I7" s="90"/>
    </row>
    <row r="8" spans="1:9">
      <c r="A8" s="86"/>
      <c r="B8" s="91"/>
      <c r="C8" s="88"/>
      <c r="D8" s="91"/>
      <c r="E8" s="91"/>
      <c r="F8" s="87"/>
      <c r="G8" s="88"/>
      <c r="H8" s="89"/>
      <c r="I8" s="90"/>
    </row>
    <row r="9" spans="1:9">
      <c r="A9" s="86"/>
      <c r="B9" s="91"/>
      <c r="C9" s="88"/>
      <c r="D9" s="91"/>
      <c r="E9" s="91"/>
      <c r="F9" s="87"/>
      <c r="G9" s="88"/>
      <c r="H9" s="89"/>
      <c r="I9" s="90"/>
    </row>
    <row r="10" spans="1:9">
      <c r="A10" s="86"/>
      <c r="B10" s="91"/>
      <c r="C10" s="88"/>
      <c r="D10" s="91"/>
      <c r="E10" s="91"/>
      <c r="F10" s="87"/>
      <c r="G10" s="88"/>
      <c r="H10" s="89"/>
      <c r="I10" s="90"/>
    </row>
    <row r="11" spans="1:9">
      <c r="A11" s="86"/>
      <c r="B11" s="91"/>
      <c r="C11" s="88"/>
      <c r="D11" s="91"/>
      <c r="E11" s="91"/>
      <c r="F11" s="87"/>
      <c r="G11" s="88"/>
      <c r="H11" s="89"/>
      <c r="I11" s="90"/>
    </row>
    <row r="12" spans="1:9">
      <c r="A12" s="86"/>
      <c r="B12" s="91"/>
      <c r="C12" s="88"/>
      <c r="D12" s="91"/>
      <c r="E12" s="91"/>
      <c r="F12" s="87"/>
      <c r="G12" s="88"/>
      <c r="H12" s="89"/>
      <c r="I12" s="90"/>
    </row>
    <row r="13" spans="1:9">
      <c r="A13" s="86"/>
      <c r="B13" s="91"/>
      <c r="C13" s="88"/>
      <c r="D13" s="91"/>
      <c r="E13" s="91"/>
      <c r="F13" s="87"/>
      <c r="G13" s="94"/>
      <c r="H13" s="89"/>
      <c r="I13" s="90"/>
    </row>
    <row r="14" spans="1:9">
      <c r="A14" s="86"/>
      <c r="B14" s="91"/>
      <c r="C14" s="88"/>
      <c r="D14" s="91"/>
      <c r="E14" s="91"/>
      <c r="F14" s="87"/>
      <c r="G14" s="94"/>
      <c r="H14" s="89"/>
      <c r="I14" s="90"/>
    </row>
    <row r="15" spans="1:9">
      <c r="A15" s="86"/>
      <c r="B15" s="91"/>
      <c r="C15" s="88"/>
      <c r="D15" s="91"/>
      <c r="E15" s="91"/>
      <c r="F15" s="87"/>
      <c r="G15" s="94"/>
      <c r="H15" s="89"/>
      <c r="I15" s="90"/>
    </row>
    <row r="16" spans="1:9">
      <c r="A16" s="86"/>
      <c r="B16" s="91"/>
      <c r="C16" s="88"/>
      <c r="D16" s="91"/>
      <c r="E16" s="91"/>
      <c r="F16" s="87"/>
      <c r="G16" s="86"/>
      <c r="H16" s="89"/>
      <c r="I16" s="90"/>
    </row>
    <row r="17" spans="1:9">
      <c r="A17" s="86"/>
      <c r="B17" s="91"/>
      <c r="C17" s="88"/>
      <c r="D17" s="91"/>
      <c r="E17" s="91"/>
      <c r="F17" s="87"/>
      <c r="G17" s="86"/>
      <c r="H17" s="89"/>
      <c r="I17" s="90"/>
    </row>
    <row r="18" spans="1:9">
      <c r="A18" s="86"/>
      <c r="B18" s="91"/>
      <c r="C18" s="88"/>
      <c r="D18" s="91"/>
      <c r="E18" s="91"/>
      <c r="F18" s="87"/>
      <c r="G18" s="94"/>
      <c r="H18" s="89"/>
      <c r="I18" s="90"/>
    </row>
    <row r="19" spans="1:9">
      <c r="A19" s="86"/>
      <c r="B19" s="91"/>
      <c r="C19" s="88"/>
      <c r="D19" s="91"/>
      <c r="E19" s="91"/>
      <c r="F19" s="87"/>
      <c r="G19" s="86"/>
      <c r="H19" s="89"/>
      <c r="I19" s="90"/>
    </row>
    <row r="20" spans="1:9">
      <c r="A20" s="86"/>
      <c r="B20" s="91"/>
      <c r="C20" s="88"/>
      <c r="D20" s="91"/>
      <c r="E20" s="91"/>
      <c r="F20" s="87"/>
      <c r="G20" s="94"/>
      <c r="H20" s="89"/>
      <c r="I20" s="90"/>
    </row>
    <row r="21" spans="1:9">
      <c r="A21" s="86"/>
      <c r="B21" s="91"/>
      <c r="C21" s="88"/>
      <c r="D21" s="91"/>
      <c r="E21" s="91"/>
      <c r="F21" s="87"/>
      <c r="G21" s="94"/>
      <c r="H21" s="89"/>
      <c r="I21" s="90"/>
    </row>
    <row r="22" spans="1:9">
      <c r="A22" s="86"/>
      <c r="B22" s="94"/>
      <c r="C22" s="87"/>
      <c r="D22" s="95"/>
      <c r="E22" s="94"/>
      <c r="F22" s="87"/>
      <c r="G22" s="94"/>
      <c r="H22" s="89"/>
      <c r="I22" s="90"/>
    </row>
    <row r="23" spans="1:9">
      <c r="A23" s="86"/>
      <c r="B23" s="94"/>
      <c r="C23" s="87"/>
      <c r="D23" s="95"/>
      <c r="E23" s="94"/>
      <c r="F23" s="87"/>
      <c r="G23" s="94"/>
      <c r="H23" s="89"/>
      <c r="I23" s="90"/>
    </row>
    <row r="24" spans="1:9">
      <c r="A24" s="86"/>
      <c r="B24" s="94"/>
      <c r="C24" s="87"/>
      <c r="D24" s="94"/>
      <c r="E24" s="94"/>
      <c r="F24" s="87"/>
      <c r="G24" s="94"/>
      <c r="H24" s="89"/>
      <c r="I24" s="90"/>
    </row>
    <row r="25" spans="1:9">
      <c r="A25" s="94"/>
      <c r="B25" s="94"/>
      <c r="C25" s="94"/>
      <c r="D25" s="94"/>
      <c r="E25" s="94"/>
      <c r="F25" s="87"/>
      <c r="G25" s="94"/>
      <c r="H25" s="89"/>
      <c r="I25" s="90"/>
    </row>
    <row r="26" spans="1:9">
      <c r="A26" s="94"/>
      <c r="B26" s="94"/>
      <c r="C26" s="94"/>
      <c r="D26" s="94"/>
      <c r="E26" s="94"/>
      <c r="F26" s="87"/>
      <c r="G26" s="94"/>
      <c r="H26" s="89"/>
      <c r="I26" s="90"/>
    </row>
    <row r="27" spans="1:9">
      <c r="A27" s="94"/>
      <c r="B27" s="94"/>
      <c r="C27" s="94"/>
      <c r="D27" s="94"/>
      <c r="E27" s="94"/>
      <c r="F27" s="87"/>
      <c r="G27" s="94"/>
      <c r="H27" s="89"/>
      <c r="I27" s="90"/>
    </row>
    <row r="28" spans="1:9">
      <c r="A28" s="86"/>
      <c r="B28" s="86"/>
      <c r="C28" s="86"/>
      <c r="D28" s="86"/>
      <c r="E28" s="94"/>
      <c r="F28" s="87"/>
      <c r="G28" s="94"/>
      <c r="H28" s="89"/>
      <c r="I28" s="90"/>
    </row>
    <row r="29" spans="1:9">
      <c r="A29" s="94"/>
      <c r="B29" s="94"/>
      <c r="C29" s="94"/>
      <c r="D29" s="94"/>
      <c r="E29" s="94"/>
      <c r="F29" s="87"/>
      <c r="G29" s="94"/>
      <c r="H29" s="89"/>
      <c r="I29" s="90"/>
    </row>
    <row r="30" spans="1:9">
      <c r="A30" s="94"/>
      <c r="B30" s="94"/>
      <c r="C30" s="94"/>
      <c r="D30" s="94"/>
      <c r="E30" s="94"/>
      <c r="F30" s="87"/>
      <c r="G30" s="96"/>
      <c r="H30" s="89"/>
      <c r="I30" s="90"/>
    </row>
    <row r="31" spans="1:9">
      <c r="A31" s="94"/>
      <c r="B31" s="94"/>
      <c r="C31" s="94"/>
      <c r="D31" s="94"/>
      <c r="E31" s="94"/>
      <c r="F31" s="87"/>
      <c r="G31" s="96"/>
      <c r="H31" s="89"/>
      <c r="I31" s="90"/>
    </row>
    <row r="32" spans="1:9">
      <c r="A32" s="94"/>
      <c r="B32" s="97"/>
      <c r="C32" s="95"/>
      <c r="D32" s="94"/>
      <c r="E32" s="94"/>
      <c r="F32" s="87"/>
      <c r="G32" s="96"/>
      <c r="H32" s="89"/>
      <c r="I32" s="90"/>
    </row>
    <row r="33" spans="1:9">
      <c r="A33" s="94"/>
      <c r="B33" s="97"/>
      <c r="C33" s="94"/>
      <c r="D33" s="95"/>
      <c r="E33" s="94"/>
      <c r="F33" s="87"/>
      <c r="G33" s="96"/>
      <c r="H33" s="89"/>
      <c r="I33" s="90"/>
    </row>
    <row r="34" spans="1:9">
      <c r="A34" s="94"/>
      <c r="B34" s="97"/>
      <c r="C34" s="94"/>
      <c r="D34" s="95"/>
      <c r="E34" s="94"/>
      <c r="F34" s="87"/>
      <c r="G34" s="96"/>
      <c r="H34" s="89"/>
      <c r="I34" s="90"/>
    </row>
    <row r="35" spans="1:9">
      <c r="A35" s="94"/>
      <c r="B35" s="97"/>
      <c r="C35" s="94"/>
      <c r="D35" s="95"/>
      <c r="E35" s="94"/>
      <c r="F35" s="87"/>
      <c r="G35" s="96"/>
      <c r="H35" s="89"/>
      <c r="I35" s="90"/>
    </row>
    <row r="36" spans="1:9">
      <c r="A36" s="94"/>
      <c r="B36" s="97"/>
      <c r="C36" s="94"/>
      <c r="D36" s="95"/>
      <c r="E36" s="94"/>
      <c r="F36" s="87"/>
      <c r="G36" s="96"/>
      <c r="H36" s="89"/>
      <c r="I36" s="90"/>
    </row>
    <row r="37" spans="1:9">
      <c r="A37" s="94"/>
      <c r="B37" s="97"/>
      <c r="C37" s="94"/>
      <c r="D37" s="95"/>
      <c r="E37" s="94"/>
      <c r="F37" s="87"/>
      <c r="G37" s="96"/>
      <c r="H37" s="89"/>
      <c r="I37" s="90"/>
    </row>
    <row r="38" spans="1:9">
      <c r="A38" s="96"/>
      <c r="B38" s="96"/>
      <c r="C38" s="96"/>
      <c r="D38" s="96"/>
      <c r="E38" s="96"/>
      <c r="F38" s="96"/>
      <c r="G38" s="96"/>
      <c r="H38" s="96"/>
      <c r="I38" s="96"/>
    </row>
    <row r="39" spans="1:9">
      <c r="A39" s="96"/>
      <c r="B39" s="96"/>
      <c r="C39" s="96"/>
      <c r="D39" s="96"/>
      <c r="E39" s="96"/>
      <c r="F39" s="96"/>
      <c r="G39" s="96"/>
      <c r="H39" s="96"/>
      <c r="I39" s="96"/>
    </row>
    <row r="40" spans="1:9">
      <c r="A40" s="96"/>
      <c r="B40" s="96"/>
      <c r="C40" s="96"/>
      <c r="D40" s="96"/>
      <c r="E40" s="96"/>
      <c r="F40" s="96"/>
      <c r="G40" s="96"/>
      <c r="H40" s="96"/>
      <c r="I40" s="96"/>
    </row>
    <row r="41" spans="1:9">
      <c r="A41" s="96"/>
      <c r="B41" s="96"/>
      <c r="C41" s="96"/>
      <c r="D41" s="96"/>
      <c r="E41" s="96"/>
      <c r="F41" s="96"/>
      <c r="G41" s="96"/>
      <c r="H41" s="96"/>
      <c r="I41" s="96"/>
    </row>
    <row r="42" spans="1:9">
      <c r="A42" s="96"/>
      <c r="B42" s="96"/>
      <c r="C42" s="96"/>
      <c r="D42" s="96"/>
      <c r="E42" s="96"/>
      <c r="F42" s="96"/>
      <c r="G42" s="96"/>
      <c r="H42" s="96"/>
      <c r="I42" s="96"/>
    </row>
    <row r="43" spans="1:9">
      <c r="A43" s="96"/>
      <c r="B43" s="96"/>
      <c r="C43" s="96"/>
      <c r="D43" s="96"/>
      <c r="E43" s="96"/>
      <c r="F43" s="96"/>
      <c r="G43" s="96"/>
      <c r="H43" s="96"/>
      <c r="I43" s="96"/>
    </row>
    <row r="44" spans="1:9">
      <c r="A44" s="96"/>
      <c r="B44" s="96"/>
      <c r="C44" s="96"/>
      <c r="D44" s="96"/>
      <c r="E44" s="96"/>
      <c r="F44" s="96"/>
      <c r="G44" s="96"/>
      <c r="H44" s="96"/>
      <c r="I44" s="96"/>
    </row>
    <row r="45" spans="1:9">
      <c r="A45" s="96"/>
      <c r="B45" s="96"/>
      <c r="C45" s="96"/>
      <c r="D45" s="96"/>
      <c r="E45" s="96"/>
      <c r="F45" s="96"/>
      <c r="G45" s="96"/>
      <c r="H45" s="96"/>
      <c r="I45" s="96"/>
    </row>
    <row r="46" spans="1:9">
      <c r="A46" s="96"/>
      <c r="B46" s="96"/>
      <c r="C46" s="96"/>
      <c r="D46" s="96"/>
      <c r="E46" s="96"/>
      <c r="F46" s="96"/>
      <c r="G46" s="96"/>
      <c r="H46" s="96"/>
      <c r="I46" s="96"/>
    </row>
    <row r="47" spans="1:9">
      <c r="A47" s="96"/>
      <c r="B47" s="96"/>
      <c r="C47" s="96"/>
      <c r="D47" s="96"/>
      <c r="E47" s="96"/>
      <c r="F47" s="96"/>
      <c r="G47" s="96"/>
      <c r="H47" s="96"/>
      <c r="I47" s="96"/>
    </row>
    <row r="48" spans="1:9">
      <c r="A48" s="96"/>
      <c r="B48" s="96"/>
      <c r="C48" s="96"/>
      <c r="D48" s="96"/>
      <c r="E48" s="96"/>
      <c r="F48" s="96"/>
      <c r="G48" s="96"/>
      <c r="H48" s="96"/>
      <c r="I48" s="96"/>
    </row>
    <row r="49" spans="1:9">
      <c r="A49" s="96"/>
      <c r="B49" s="96"/>
      <c r="C49" s="96"/>
      <c r="D49" s="96"/>
      <c r="E49" s="96"/>
      <c r="F49" s="96"/>
      <c r="G49" s="96"/>
      <c r="H49" s="96"/>
      <c r="I49" s="96"/>
    </row>
    <row r="50" spans="1:9">
      <c r="A50" s="96"/>
      <c r="B50" s="96"/>
      <c r="C50" s="96"/>
      <c r="D50" s="96"/>
      <c r="E50" s="96"/>
      <c r="F50" s="96"/>
      <c r="G50" s="96"/>
      <c r="H50" s="96"/>
      <c r="I50" s="96"/>
    </row>
    <row r="51" spans="1:9">
      <c r="A51" s="96"/>
      <c r="B51" s="96"/>
      <c r="C51" s="96"/>
      <c r="D51" s="96"/>
      <c r="E51" s="96"/>
      <c r="F51" s="96"/>
      <c r="G51" s="96"/>
      <c r="H51" s="96"/>
      <c r="I51" s="96"/>
    </row>
    <row r="52" spans="1:9">
      <c r="A52" s="96"/>
      <c r="B52" s="96"/>
      <c r="C52" s="96"/>
      <c r="D52" s="96"/>
      <c r="E52" s="96"/>
      <c r="F52" s="96"/>
      <c r="G52" s="96"/>
      <c r="H52" s="96"/>
      <c r="I52" s="96"/>
    </row>
    <row r="53" spans="1:9">
      <c r="A53" s="96"/>
      <c r="B53" s="96"/>
      <c r="C53" s="96"/>
      <c r="D53" s="96"/>
      <c r="E53" s="96"/>
      <c r="F53" s="96"/>
      <c r="G53" s="96"/>
      <c r="H53" s="96"/>
      <c r="I53" s="96"/>
    </row>
    <row r="54" spans="1:9">
      <c r="A54" s="96"/>
      <c r="B54" s="96"/>
      <c r="C54" s="96"/>
      <c r="D54" s="96"/>
      <c r="E54" s="96"/>
      <c r="F54" s="96"/>
      <c r="G54" s="96"/>
      <c r="H54" s="96"/>
      <c r="I54" s="96"/>
    </row>
    <row r="55" spans="1:9">
      <c r="A55" s="96"/>
      <c r="B55" s="96"/>
      <c r="C55" s="96"/>
      <c r="D55" s="96"/>
      <c r="E55" s="96"/>
      <c r="F55" s="96"/>
      <c r="G55" s="96"/>
      <c r="H55" s="96"/>
      <c r="I55" s="96"/>
    </row>
    <row r="56" spans="1:9">
      <c r="A56" s="96"/>
      <c r="B56" s="96"/>
      <c r="C56" s="96"/>
      <c r="D56" s="96"/>
      <c r="E56" s="96"/>
      <c r="F56" s="96"/>
      <c r="G56" s="96"/>
      <c r="H56" s="96"/>
      <c r="I56" s="96"/>
    </row>
    <row r="57" spans="1:9">
      <c r="A57" s="96"/>
      <c r="B57" s="96"/>
      <c r="C57" s="96"/>
      <c r="D57" s="96"/>
      <c r="E57" s="96"/>
      <c r="F57" s="96"/>
      <c r="G57" s="96"/>
      <c r="H57" s="96"/>
      <c r="I57" s="96"/>
    </row>
    <row r="58" spans="1:9">
      <c r="A58" s="96"/>
      <c r="B58" s="96"/>
      <c r="C58" s="96"/>
      <c r="D58" s="96"/>
      <c r="E58" s="96"/>
      <c r="F58" s="96"/>
      <c r="G58" s="96"/>
      <c r="H58" s="96"/>
      <c r="I58" s="96"/>
    </row>
    <row r="59" spans="1:9">
      <c r="A59" s="96"/>
      <c r="B59" s="96"/>
      <c r="C59" s="96"/>
      <c r="D59" s="96"/>
      <c r="E59" s="96"/>
      <c r="F59" s="96"/>
      <c r="G59" s="96"/>
      <c r="H59" s="96"/>
      <c r="I59" s="96"/>
    </row>
    <row r="60" spans="1:9">
      <c r="A60" s="96"/>
      <c r="B60" s="96"/>
      <c r="C60" s="96"/>
      <c r="D60" s="96"/>
      <c r="E60" s="96"/>
      <c r="F60" s="96"/>
      <c r="G60" s="96"/>
      <c r="H60" s="96"/>
      <c r="I60" s="96"/>
    </row>
    <row r="61" spans="1:9">
      <c r="A61" s="96"/>
      <c r="B61" s="96"/>
      <c r="C61" s="96"/>
      <c r="D61" s="96"/>
      <c r="E61" s="96"/>
      <c r="F61" s="96"/>
      <c r="G61" s="96"/>
      <c r="H61" s="96"/>
      <c r="I61" s="96"/>
    </row>
    <row r="62" spans="1:9">
      <c r="A62" s="96"/>
      <c r="B62" s="96"/>
      <c r="C62" s="96"/>
      <c r="D62" s="96"/>
      <c r="E62" s="96"/>
      <c r="F62" s="96"/>
      <c r="G62" s="96"/>
      <c r="H62" s="96"/>
      <c r="I62" s="96"/>
    </row>
    <row r="63" spans="1:9">
      <c r="A63" s="96"/>
      <c r="B63" s="96"/>
      <c r="C63" s="96"/>
      <c r="D63" s="96"/>
      <c r="E63" s="96"/>
      <c r="F63" s="96"/>
      <c r="G63" s="96"/>
      <c r="H63" s="96"/>
      <c r="I63" s="96"/>
    </row>
    <row r="64" spans="1:9">
      <c r="A64" s="96"/>
      <c r="B64" s="96"/>
      <c r="C64" s="96"/>
      <c r="D64" s="96"/>
      <c r="E64" s="96"/>
      <c r="F64" s="96"/>
      <c r="G64" s="96"/>
      <c r="H64" s="96"/>
      <c r="I64" s="96"/>
    </row>
    <row r="65" spans="1:9">
      <c r="A65" s="96"/>
      <c r="B65" s="96"/>
      <c r="C65" s="96"/>
      <c r="D65" s="96"/>
      <c r="E65" s="96"/>
      <c r="F65" s="96"/>
      <c r="G65" s="96"/>
      <c r="H65" s="96"/>
      <c r="I65" s="96"/>
    </row>
    <row r="66" spans="1:9">
      <c r="A66" s="96"/>
      <c r="B66" s="96"/>
      <c r="C66" s="96"/>
      <c r="D66" s="96"/>
      <c r="E66" s="96"/>
      <c r="F66" s="96"/>
      <c r="G66" s="96"/>
      <c r="H66" s="96"/>
      <c r="I66" s="96"/>
    </row>
    <row r="67" spans="1:9">
      <c r="A67" s="96"/>
      <c r="B67" s="96"/>
      <c r="C67" s="96"/>
      <c r="D67" s="96"/>
      <c r="E67" s="96"/>
      <c r="F67" s="96"/>
      <c r="G67" s="96"/>
      <c r="H67" s="96"/>
      <c r="I67" s="96"/>
    </row>
    <row r="68" spans="1:9">
      <c r="A68" s="96"/>
      <c r="B68" s="96"/>
      <c r="C68" s="96"/>
      <c r="D68" s="96"/>
      <c r="E68" s="96"/>
      <c r="F68" s="96"/>
      <c r="G68" s="96"/>
      <c r="H68" s="96"/>
      <c r="I68" s="96"/>
    </row>
    <row r="69" spans="1:9">
      <c r="A69" s="96"/>
      <c r="B69" s="96"/>
      <c r="C69" s="96"/>
      <c r="D69" s="96"/>
      <c r="E69" s="96"/>
      <c r="F69" s="96"/>
      <c r="G69" s="96"/>
      <c r="H69" s="96"/>
      <c r="I69" s="96"/>
    </row>
    <row r="70" spans="1:9">
      <c r="A70" s="96"/>
      <c r="B70" s="96"/>
      <c r="C70" s="96"/>
      <c r="D70" s="96"/>
      <c r="E70" s="96"/>
      <c r="F70" s="96"/>
      <c r="G70" s="96"/>
      <c r="H70" s="96"/>
      <c r="I70" s="96"/>
    </row>
    <row r="71" spans="1:9">
      <c r="A71" s="96"/>
      <c r="B71" s="96"/>
      <c r="C71" s="96"/>
      <c r="D71" s="96"/>
      <c r="E71" s="96"/>
      <c r="F71" s="96"/>
      <c r="G71" s="96"/>
      <c r="H71" s="96"/>
      <c r="I71" s="96"/>
    </row>
    <row r="72" spans="1:9">
      <c r="A72" s="96"/>
      <c r="B72" s="96"/>
      <c r="C72" s="96"/>
      <c r="D72" s="96"/>
      <c r="E72" s="96"/>
      <c r="F72" s="96"/>
      <c r="G72" s="96"/>
      <c r="H72" s="96"/>
      <c r="I72" s="96"/>
    </row>
    <row r="73" spans="1:9">
      <c r="A73" s="96"/>
      <c r="B73" s="96"/>
      <c r="C73" s="96"/>
      <c r="D73" s="96"/>
      <c r="E73" s="96"/>
      <c r="F73" s="96"/>
      <c r="G73" s="96"/>
      <c r="H73" s="96"/>
      <c r="I73" s="96"/>
    </row>
    <row r="74" spans="1:9">
      <c r="A74" s="96"/>
      <c r="B74" s="96"/>
      <c r="C74" s="96"/>
      <c r="D74" s="96"/>
      <c r="E74" s="96"/>
      <c r="F74" s="96"/>
      <c r="G74" s="96"/>
      <c r="H74" s="96"/>
      <c r="I74" s="96"/>
    </row>
    <row r="75" spans="1:9">
      <c r="A75" s="96"/>
      <c r="B75" s="96"/>
      <c r="C75" s="96"/>
      <c r="D75" s="96"/>
      <c r="E75" s="96"/>
      <c r="F75" s="96"/>
      <c r="G75" s="96"/>
      <c r="H75" s="96"/>
      <c r="I75" s="96"/>
    </row>
    <row r="76" spans="1:9">
      <c r="A76" s="96"/>
      <c r="B76" s="96"/>
      <c r="C76" s="96"/>
      <c r="D76" s="96"/>
      <c r="E76" s="96"/>
      <c r="F76" s="96"/>
      <c r="G76" s="96"/>
      <c r="H76" s="96"/>
      <c r="I76" s="96"/>
    </row>
    <row r="77" spans="1:9">
      <c r="A77" s="96"/>
      <c r="B77" s="96"/>
      <c r="C77" s="96"/>
      <c r="D77" s="96"/>
      <c r="E77" s="96"/>
      <c r="F77" s="96"/>
      <c r="G77" s="96"/>
      <c r="H77" s="96"/>
      <c r="I77" s="96"/>
    </row>
    <row r="78" spans="1:9">
      <c r="A78" s="96"/>
      <c r="B78" s="96"/>
      <c r="C78" s="96"/>
      <c r="D78" s="96"/>
      <c r="E78" s="96"/>
      <c r="F78" s="96"/>
      <c r="G78" s="96"/>
      <c r="H78" s="96"/>
      <c r="I78" s="96"/>
    </row>
    <row r="80" spans="1:9">
      <c r="B80" s="126" t="s">
        <v>93</v>
      </c>
    </row>
    <row r="82" spans="1:2">
      <c r="A82" s="34" t="s">
        <v>81</v>
      </c>
      <c r="B82" s="108" t="s">
        <v>80</v>
      </c>
    </row>
  </sheetData>
  <dataValidations count="1">
    <dataValidation type="list" operator="equal" allowBlank="1" sqref="F5:G37" xr:uid="{FD693F32-6E19-493B-9FCA-2D643EDF3271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template</vt:lpstr>
      <vt:lpstr>Q2 template</vt:lpstr>
      <vt:lpstr>Q3.1 template</vt:lpstr>
      <vt:lpstr>Q3.2 template</vt:lpstr>
      <vt:lpstr>Q3.3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Nguyễn Thị Thanh Trúc</cp:lastModifiedBy>
  <dcterms:created xsi:type="dcterms:W3CDTF">2023-02-26T13:32:36Z</dcterms:created>
  <dcterms:modified xsi:type="dcterms:W3CDTF">2023-11-22T01:06:26Z</dcterms:modified>
</cp:coreProperties>
</file>